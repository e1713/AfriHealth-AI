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Montserrat"/>
      <b val="1"/>
      <color rgb="FF1A1B1F"/>
      <sz val="18"/>
    </font>
    <font>
      <name val="Montserrat"/>
      <b val="1"/>
      <color rgb="FF573D5B"/>
      <sz val="10"/>
    </font>
    <font>
      <name val="Roboto"/>
      <color rgb="FF1A1B1F"/>
      <sz val="14"/>
    </font>
    <font>
      <name val="Montserrat"/>
      <b val="1"/>
      <color rgb="FFFFFFFF"/>
      <sz val="11"/>
    </font>
    <font>
      <name val="Arial"/>
      <color theme="1"/>
    </font>
    <font>
      <name val="Roboto"/>
      <color rgb="FF1A1B1F"/>
      <sz val="10"/>
      <u val="single"/>
    </font>
    <font>
      <name val="Roboto"/>
      <color rgb="FF1A1B1F"/>
      <sz val="10"/>
    </font>
    <font>
      <name val="Roboto"/>
      <color rgb="FF1A1B1F"/>
      <sz val="10"/>
      <u val="single"/>
    </font>
    <font>
      <name val="Arial"/>
      <color rgb="FF0000FF"/>
      <u val="single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ECECF4"/>
        <bgColor rgb="FFECECF4"/>
      </patternFill>
    </fill>
    <fill>
      <patternFill patternType="solid">
        <fgColor rgb="FFFFFFFF"/>
        <bgColor rgb="FFFFFFFF"/>
      </patternFill>
    </fill>
    <fill>
      <patternFill patternType="solid">
        <fgColor rgb="FF445E91"/>
        <bgColor rgb="FF445E91"/>
      </patternFill>
    </fill>
    <fill>
      <patternFill patternType="solid">
        <fgColor rgb="FFF8F8FF"/>
        <bgColor rgb="FFF8F8FF"/>
      </patternFill>
    </fill>
  </fills>
  <borders count="3">
    <border/>
    <border>
      <left style="thin">
        <color rgb="FF74777E"/>
      </left>
      <right style="thin">
        <color rgb="FF74777E"/>
      </right>
      <top style="thin">
        <color rgb="FF74777E"/>
      </top>
      <bottom style="thin">
        <color rgb="FF74777E"/>
      </bottom>
    </border>
    <border>
      <bottom style="thin">
        <color rgb="FF74777E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0" borderId="0" applyAlignment="1" pivotButton="0" quotePrefix="0" xfId="0">
      <alignment vertical="bottom"/>
    </xf>
    <xf numFmtId="0" fontId="6" fillId="5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bottom"/>
    </xf>
    <xf numFmtId="0" fontId="7" fillId="5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7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0" borderId="0" pivotButton="0" quotePrefix="0" xfId="0"/>
    <xf numFmtId="0" fontId="10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6"/>
  <sheetViews>
    <sheetView showGridLines="0" workbookViewId="0">
      <selection activeCell="A1" sqref="A1"/>
    </sheetView>
  </sheetViews>
  <sheetFormatPr baseColWidth="8" defaultColWidth="12.63" defaultRowHeight="15.75" customHeight="1"/>
  <cols>
    <col width="2.75" customWidth="1" style="17" min="1" max="1"/>
    <col width="14.63" customWidth="1" style="17" min="2" max="2"/>
    <col width="13.5" customWidth="1" style="17" min="3" max="3"/>
    <col width="10.75" customWidth="1" style="17" min="4" max="4"/>
    <col width="30.88" customWidth="1" style="17" min="5" max="5"/>
    <col width="14.88" customWidth="1" style="17" min="6" max="6"/>
    <col width="37.63" customWidth="1" style="17" min="7" max="7"/>
    <col width="104.25" customWidth="1" style="17" min="8" max="8"/>
    <col width="40.38" customWidth="1" style="17" min="9" max="9"/>
    <col width="10.13" customWidth="1" style="17" min="10" max="10"/>
    <col width="10.88" customWidth="1" style="17" min="11" max="11"/>
  </cols>
  <sheetData>
    <row r="1" ht="6.75" customHeight="1" s="17"/>
    <row r="2">
      <c r="B2" s="1" t="inlineStr">
        <is>
          <t>Speech Recognition Ground Truth Template</t>
        </is>
      </c>
    </row>
    <row r="3">
      <c r="B3" s="2" t="inlineStr">
        <is>
          <t>Total Cases</t>
        </is>
      </c>
      <c r="C3" s="2" t="inlineStr">
        <is>
          <t>Total Duration (s)</t>
        </is>
      </c>
      <c r="D3" s="2" t="inlineStr">
        <is>
          <t>Verified Cases</t>
        </is>
      </c>
    </row>
    <row r="4">
      <c r="B4" s="3">
        <f>COUNTA(B7:B106)</f>
        <v/>
      </c>
      <c r="C4" s="3">
        <f>SUM(J7:J106)</f>
        <v/>
      </c>
      <c r="D4" s="3">
        <f>COUNTIF(K7:K106, "verified")</f>
        <v/>
      </c>
    </row>
    <row r="5"/>
    <row r="6" ht="30" customHeight="1" s="17">
      <c r="B6" s="4" t="inlineStr">
        <is>
          <t>case_id</t>
        </is>
      </c>
      <c r="C6" s="4" t="inlineStr">
        <is>
          <t>audio_filename</t>
        </is>
      </c>
      <c r="D6" s="4" t="inlineStr">
        <is>
          <t>speaker_id</t>
        </is>
      </c>
      <c r="E6" s="4" t="inlineStr">
        <is>
          <t>clinical_domain</t>
        </is>
      </c>
      <c r="F6" s="4" t="inlineStr">
        <is>
          <t>language_mix</t>
        </is>
      </c>
      <c r="G6" s="4" t="inlineStr">
        <is>
          <t>raw_transcript</t>
        </is>
      </c>
      <c r="H6" s="4" t="inlineStr">
        <is>
          <t>normalized_transcript</t>
        </is>
      </c>
      <c r="I6" s="4" t="inlineStr">
        <is>
          <t>medical_entities</t>
        </is>
      </c>
      <c r="J6" s="4" t="inlineStr">
        <is>
          <t>duration_sec</t>
        </is>
      </c>
      <c r="K6" s="4" t="inlineStr">
        <is>
          <t>review_status</t>
        </is>
      </c>
      <c r="L6" t="inlineStr">
        <is>
          <t>reviewer</t>
        </is>
      </c>
      <c r="M6" t="inlineStr">
        <is>
          <t>review_date</t>
        </is>
      </c>
      <c r="N6" t="inlineStr">
        <is>
          <t>verification_method</t>
        </is>
      </c>
      <c r="O6" t="inlineStr">
        <is>
          <t>verification_notes</t>
        </is>
      </c>
      <c r="P6" t="inlineStr">
        <is>
          <t>dataset_version</t>
        </is>
      </c>
      <c r="Q6" t="inlineStr">
        <is>
          <t>prepared_by</t>
        </is>
      </c>
    </row>
    <row r="7" ht="18" customHeight="1" s="17">
      <c r="B7" s="13" t="inlineStr">
        <is>
          <t>CS-01</t>
        </is>
      </c>
      <c r="C7" s="6" t="inlineStr">
        <is>
          <t>CS-01.wav</t>
        </is>
      </c>
      <c r="D7" s="13" t="inlineStr">
        <is>
          <t>Speaker-03</t>
        </is>
      </c>
      <c r="E7" s="13" t="inlineStr">
        <is>
          <t>Infectious Disease / Pulmonology</t>
        </is>
      </c>
      <c r="F7" s="9" t="inlineStr">
        <is>
          <t>Amharic-English</t>
        </is>
      </c>
      <c r="G7" s="9" t="n"/>
      <c r="H7" s="13" t="inlineStr">
        <is>
          <t>ሕመምተኛው ለ 3 ቀን high-grade fever እና severe ሳል አለው።</t>
        </is>
      </c>
      <c r="I7" s="13" t="inlineStr">
        <is>
          <t>High-grade fever</t>
        </is>
      </c>
      <c r="J7" s="9" t="n"/>
      <c r="K7" s="9" t="inlineStr">
        <is>
          <t>verified</t>
        </is>
      </c>
      <c r="L7" t="inlineStr"/>
      <c r="M7" t="inlineStr"/>
      <c r="N7" t="inlineStr">
        <is>
          <t>manual_review</t>
        </is>
      </c>
      <c r="O7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" t="inlineStr">
        <is>
          <t>v1.0</t>
        </is>
      </c>
      <c r="Q7" t="inlineStr">
        <is>
          <t>Ermias</t>
        </is>
      </c>
    </row>
    <row r="8" ht="15.75" customHeight="1" s="17">
      <c r="B8" s="13" t="inlineStr">
        <is>
          <t>CS-02</t>
        </is>
      </c>
      <c r="C8" s="10" t="inlineStr">
        <is>
          <t>CS-02.wav</t>
        </is>
      </c>
      <c r="D8" s="13" t="inlineStr">
        <is>
          <t>Speaker-03</t>
        </is>
      </c>
      <c r="E8" s="13" t="inlineStr">
        <is>
          <t>General Outpatient / Pharmacology</t>
        </is>
      </c>
      <c r="F8" s="12" t="inlineStr">
        <is>
          <t>Amharic-English</t>
        </is>
      </c>
      <c r="G8" s="12" t="n"/>
      <c r="H8" s="13" t="inlineStr">
        <is>
          <t>Prescribe Amoxicillin 500mg capsules, TID for 7 days.</t>
        </is>
      </c>
      <c r="I8" s="13" t="inlineStr">
        <is>
          <t>Amoxicillin 500mg, TID</t>
        </is>
      </c>
      <c r="J8" s="12" t="n"/>
      <c r="K8" s="12" t="inlineStr">
        <is>
          <t>verified</t>
        </is>
      </c>
      <c r="L8" t="inlineStr"/>
      <c r="M8" t="inlineStr"/>
      <c r="N8" t="inlineStr">
        <is>
          <t>manual_review</t>
        </is>
      </c>
      <c r="O8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" t="inlineStr">
        <is>
          <t>v1.0</t>
        </is>
      </c>
      <c r="Q8" t="inlineStr">
        <is>
          <t>Ermias</t>
        </is>
      </c>
    </row>
    <row r="9" ht="16.5" customHeight="1" s="17">
      <c r="B9" s="13" t="inlineStr">
        <is>
          <t>CS-03</t>
        </is>
      </c>
      <c r="C9" s="6" t="inlineStr">
        <is>
          <t>CS-03.wav</t>
        </is>
      </c>
      <c r="D9" s="13" t="inlineStr">
        <is>
          <t>Speaker-03</t>
        </is>
      </c>
      <c r="E9" s="13" t="inlineStr">
        <is>
          <t>Pediatric Pulmonology</t>
        </is>
      </c>
      <c r="F9" s="9" t="inlineStr">
        <is>
          <t>Amharic-English</t>
        </is>
      </c>
      <c r="G9" s="9" t="n"/>
      <c r="H9" s="13" t="inlineStr">
        <is>
          <t>ሕፃኑ ትንፋሽ ማጠር እና wheezing ስላለው nebulization ያስፈልገዋል።</t>
        </is>
      </c>
      <c r="I9" s="13" t="inlineStr">
        <is>
          <t>ትንፋሽ ማጠር, Wheezing, Nebulization</t>
        </is>
      </c>
      <c r="J9" s="9" t="n"/>
      <c r="K9" s="9" t="inlineStr">
        <is>
          <t>verified</t>
        </is>
      </c>
      <c r="L9" t="inlineStr"/>
      <c r="M9" t="inlineStr"/>
      <c r="N9" t="inlineStr">
        <is>
          <t>manual_review</t>
        </is>
      </c>
      <c r="O9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" t="inlineStr">
        <is>
          <t>v1.0</t>
        </is>
      </c>
      <c r="Q9" t="inlineStr">
        <is>
          <t>Ermias</t>
        </is>
      </c>
    </row>
    <row r="10" ht="14.25" customHeight="1" s="17">
      <c r="B10" s="13" t="inlineStr">
        <is>
          <t>CS-04</t>
        </is>
      </c>
      <c r="C10" s="10" t="inlineStr">
        <is>
          <t>CS-04.wav</t>
        </is>
      </c>
      <c r="D10" s="13" t="inlineStr">
        <is>
          <t>Speaker-03</t>
        </is>
      </c>
      <c r="E10" s="13" t="inlineStr">
        <is>
          <t>Urology / Outpatient</t>
        </is>
      </c>
      <c r="F10" s="12" t="inlineStr">
        <is>
          <t>Amharic-English</t>
        </is>
      </c>
      <c r="G10" s="12" t="n"/>
      <c r="H10" s="13" t="inlineStr">
        <is>
          <t>Dysuria እና lower abdominal pain ስላለው፣ check urine analysis.</t>
        </is>
      </c>
      <c r="I10" s="13" t="inlineStr">
        <is>
          <t>Dysuria, Urine analysis</t>
        </is>
      </c>
      <c r="J10" s="12" t="n"/>
      <c r="K10" s="12" t="inlineStr">
        <is>
          <t>verified</t>
        </is>
      </c>
      <c r="L10" t="inlineStr"/>
      <c r="M10" t="inlineStr"/>
      <c r="N10" t="inlineStr">
        <is>
          <t>manual_review</t>
        </is>
      </c>
      <c r="O10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0" t="inlineStr">
        <is>
          <t>v1.0</t>
        </is>
      </c>
      <c r="Q10" t="inlineStr">
        <is>
          <t>Ermias</t>
        </is>
      </c>
    </row>
    <row r="11">
      <c r="B11" s="13" t="inlineStr">
        <is>
          <t>CS-05</t>
        </is>
      </c>
      <c r="C11" s="14" t="inlineStr">
        <is>
          <t>CS-05.wav</t>
        </is>
      </c>
      <c r="D11" s="13" t="inlineStr">
        <is>
          <t>Speaker-03</t>
        </is>
      </c>
      <c r="E11" s="13" t="inlineStr">
        <is>
          <t>Pediatrics / Pharmacology</t>
        </is>
      </c>
      <c r="F11" s="12" t="inlineStr">
        <is>
          <t>Amharic-English</t>
        </is>
      </c>
      <c r="H11" s="13" t="inlineStr">
        <is>
          <t>Pediatric suspension 125mg/5mL, 5mL PO TID for 5 days.</t>
        </is>
      </c>
      <c r="I11" s="13" t="inlineStr">
        <is>
          <t>Pediatric suspension, 125mg/5mL, PO TID</t>
        </is>
      </c>
      <c r="K11" s="15" t="inlineStr">
        <is>
          <t>verified</t>
        </is>
      </c>
      <c r="L11" t="inlineStr"/>
      <c r="M11" t="inlineStr"/>
      <c r="N11" t="inlineStr">
        <is>
          <t>manual_review</t>
        </is>
      </c>
      <c r="O11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1" t="inlineStr">
        <is>
          <t>v1.0</t>
        </is>
      </c>
      <c r="Q11" t="inlineStr">
        <is>
          <t>Ermias</t>
        </is>
      </c>
    </row>
    <row r="12">
      <c r="B12" s="13" t="inlineStr">
        <is>
          <t>CS-06</t>
        </is>
      </c>
      <c r="C12" s="14" t="inlineStr">
        <is>
          <t>CS-06.wav</t>
        </is>
      </c>
      <c r="D12" s="13" t="inlineStr">
        <is>
          <t>Speaker-03</t>
        </is>
      </c>
      <c r="E12" s="13" t="inlineStr">
        <is>
          <t>Endocrinology</t>
        </is>
      </c>
      <c r="F12" s="12" t="inlineStr">
        <is>
          <t>Amharic-English</t>
        </is>
      </c>
      <c r="H12" s="13" t="inlineStr">
        <is>
          <t>Fasting blood sugar 240 mg/dL ስለሆነ Metformin 500mg BID እናዘዝ።</t>
        </is>
      </c>
      <c r="I12" s="13" t="inlineStr">
        <is>
          <t>Fasting blood sugar, Metformin, BID</t>
        </is>
      </c>
      <c r="K12" s="15" t="inlineStr">
        <is>
          <t>verified</t>
        </is>
      </c>
      <c r="L12" t="inlineStr"/>
      <c r="M12" t="inlineStr"/>
      <c r="N12" t="inlineStr">
        <is>
          <t>manual_review</t>
        </is>
      </c>
      <c r="O12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2" t="inlineStr">
        <is>
          <t>v1.0</t>
        </is>
      </c>
      <c r="Q12" t="inlineStr">
        <is>
          <t>Ermias</t>
        </is>
      </c>
    </row>
    <row r="13">
      <c r="B13" s="13" t="inlineStr">
        <is>
          <t>CS-07</t>
        </is>
      </c>
      <c r="C13" s="14" t="inlineStr">
        <is>
          <t>CS-07.wav</t>
        </is>
      </c>
      <c r="D13" s="13" t="inlineStr">
        <is>
          <t>Speaker-03</t>
        </is>
      </c>
      <c r="E13" s="13" t="inlineStr">
        <is>
          <t>Cardiology / Nephrology</t>
        </is>
      </c>
      <c r="F13" s="12" t="inlineStr">
        <is>
          <t>Amharic-English</t>
        </is>
      </c>
      <c r="H13" s="13" t="inlineStr">
        <is>
          <t>BP 160/100 mmHg ነው። Bilateral lower extremity edema ስላለ Echocardiogram እና LFT, RFT order እናድርግ።</t>
        </is>
      </c>
      <c r="I13" s="13" t="inlineStr">
        <is>
          <t>BP 160/100 mmHg, Edema, Echocardiogram</t>
        </is>
      </c>
      <c r="K13" s="15" t="inlineStr">
        <is>
          <t>verified</t>
        </is>
      </c>
      <c r="L13" t="inlineStr"/>
      <c r="M13" t="inlineStr"/>
      <c r="N13" t="inlineStr">
        <is>
          <t>manual_review</t>
        </is>
      </c>
      <c r="O13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3" t="inlineStr">
        <is>
          <t>v1.0</t>
        </is>
      </c>
      <c r="Q13" t="inlineStr">
        <is>
          <t>Ermias</t>
        </is>
      </c>
    </row>
    <row r="14">
      <c r="B14" s="13" t="inlineStr">
        <is>
          <t>CS-08</t>
        </is>
      </c>
      <c r="C14" s="14" t="inlineStr">
        <is>
          <t>CS-08.wav</t>
        </is>
      </c>
      <c r="D14" s="13" t="inlineStr">
        <is>
          <t>Speaker-03</t>
        </is>
      </c>
      <c r="E14" s="13" t="inlineStr">
        <is>
          <t>Infectious Disease / Tropical Medicine</t>
        </is>
      </c>
      <c r="F14" s="12" t="inlineStr">
        <is>
          <t>Amharic-English</t>
        </is>
      </c>
      <c r="H14" s="13" t="inlineStr">
        <is>
          <t>ሕመምተኛው chills</t>
        </is>
      </c>
      <c r="I14" s="13" t="inlineStr">
        <is>
          <t>Chills, Rigor, Malaria film, CBC</t>
        </is>
      </c>
      <c r="K14" s="15" t="inlineStr">
        <is>
          <t>verified</t>
        </is>
      </c>
      <c r="L14" t="inlineStr"/>
      <c r="M14" t="inlineStr"/>
      <c r="N14" t="inlineStr">
        <is>
          <t>manual_review</t>
        </is>
      </c>
      <c r="O14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4" t="inlineStr">
        <is>
          <t>v1.0</t>
        </is>
      </c>
      <c r="Q14" t="inlineStr">
        <is>
          <t>Ermias</t>
        </is>
      </c>
    </row>
    <row r="15">
      <c r="B15" s="13" t="inlineStr">
        <is>
          <t>CS-09</t>
        </is>
      </c>
      <c r="C15" s="14" t="inlineStr">
        <is>
          <t>CS-09.wav</t>
        </is>
      </c>
      <c r="D15" s="13" t="inlineStr">
        <is>
          <t>Speaker-03</t>
        </is>
      </c>
      <c r="E15" s="13" t="inlineStr">
        <is>
          <t>Obstetrics &amp; Gynecology (OBGYN)</t>
        </is>
      </c>
      <c r="F15" s="12" t="inlineStr">
        <is>
          <t>Amharic-English</t>
        </is>
      </c>
      <c r="H15" s="13" t="inlineStr">
        <is>
          <t>Gravida 3 Para 2 at 38 weeks gestation. Regular uterine contractions እና ruptured membranes ስላሉ Plan for normal vaginal delivery.</t>
        </is>
      </c>
      <c r="I15" s="13" t="inlineStr">
        <is>
          <t>Gravida 3 Para 2, Gestation, Delivery</t>
        </is>
      </c>
      <c r="K15" s="15" t="inlineStr">
        <is>
          <t>verified</t>
        </is>
      </c>
      <c r="L15" t="inlineStr"/>
      <c r="M15" t="inlineStr"/>
      <c r="N15" t="inlineStr">
        <is>
          <t>manual_review</t>
        </is>
      </c>
      <c r="O15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5" t="inlineStr">
        <is>
          <t>v1.0</t>
        </is>
      </c>
      <c r="Q15" t="inlineStr">
        <is>
          <t>Ermias</t>
        </is>
      </c>
    </row>
    <row r="16">
      <c r="B16" s="13" t="inlineStr">
        <is>
          <t>CS-10</t>
        </is>
      </c>
      <c r="C16" s="14" t="inlineStr">
        <is>
          <t>CS-10.wav</t>
        </is>
      </c>
      <c r="D16" s="13" t="inlineStr">
        <is>
          <t>Speaker-03</t>
        </is>
      </c>
      <c r="E16" s="13" t="inlineStr">
        <is>
          <t>General Surgery / Gastroenterology</t>
        </is>
      </c>
      <c r="F16" s="12" t="inlineStr">
        <is>
          <t>Amharic-English</t>
        </is>
      </c>
      <c r="H16" s="13" t="inlineStr">
        <is>
          <t>Right lower quadrant rebound tenderness ስላለ acute appendicitis rule out ለማድረግ Abdominal ultrasound እና WBC count order እንስጥ።</t>
        </is>
      </c>
      <c r="I16" s="13" t="inlineStr">
        <is>
          <t>Appendicitis, Ultrasound, WBC count</t>
        </is>
      </c>
      <c r="K16" s="15" t="inlineStr">
        <is>
          <t>verified</t>
        </is>
      </c>
      <c r="L16" t="inlineStr"/>
      <c r="M16" t="inlineStr"/>
      <c r="N16" t="inlineStr">
        <is>
          <t>manual_review</t>
        </is>
      </c>
      <c r="O16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6" t="inlineStr">
        <is>
          <t>v1.0</t>
        </is>
      </c>
      <c r="Q16" t="inlineStr">
        <is>
          <t>Ermias</t>
        </is>
      </c>
    </row>
    <row r="17">
      <c r="B17" s="13" t="inlineStr">
        <is>
          <t>CS-11</t>
        </is>
      </c>
      <c r="C17" s="14" t="inlineStr">
        <is>
          <t>CS-11.wav</t>
        </is>
      </c>
      <c r="D17" s="13" t="inlineStr">
        <is>
          <t>Speaker-03</t>
        </is>
      </c>
      <c r="E17" s="13" t="inlineStr">
        <is>
          <t>Infectious Disease / Pulmonology</t>
        </is>
      </c>
      <c r="F17" s="12" t="inlineStr">
        <is>
          <t>Amharic-English</t>
        </is>
      </c>
      <c r="H17" s="13" t="inlineStr">
        <is>
          <t>ለ 3 ሳምንት የቆየ chronic cough</t>
        </is>
      </c>
      <c r="I17" s="13" t="inlineStr">
        <is>
          <t>Chronic cough, GeneXpert, X-ray</t>
        </is>
      </c>
      <c r="K17" s="15" t="inlineStr">
        <is>
          <t>verified</t>
        </is>
      </c>
      <c r="L17" t="inlineStr"/>
      <c r="M17" t="inlineStr"/>
      <c r="N17" t="inlineStr">
        <is>
          <t>manual_review</t>
        </is>
      </c>
      <c r="O17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7" t="inlineStr">
        <is>
          <t>v1.0</t>
        </is>
      </c>
      <c r="Q17" t="inlineStr">
        <is>
          <t>Ermias</t>
        </is>
      </c>
    </row>
    <row r="18">
      <c r="B18" s="13" t="inlineStr">
        <is>
          <t>CS-12</t>
        </is>
      </c>
      <c r="C18" s="14" t="inlineStr">
        <is>
          <t>CS-12.wav</t>
        </is>
      </c>
      <c r="D18" s="13" t="inlineStr">
        <is>
          <t>Speaker-03</t>
        </is>
      </c>
      <c r="E18" s="13" t="inlineStr">
        <is>
          <t>Gastroenterology / Emergency</t>
        </is>
      </c>
      <c r="F18" s="12" t="inlineStr">
        <is>
          <t>Amharic-English</t>
        </is>
      </c>
      <c r="H18" s="13" t="inlineStr">
        <is>
          <t>severe vomiting እና watery diarrhea ስላለ Signs of severe dehydration ታይቷል፤ IV Normal Saline bolus እንስጥ።</t>
        </is>
      </c>
      <c r="I18" s="13" t="inlineStr">
        <is>
          <t>Vomiting, Dehydration, IV Saline</t>
        </is>
      </c>
      <c r="K18" s="15" t="inlineStr">
        <is>
          <t>verified</t>
        </is>
      </c>
      <c r="L18" t="inlineStr"/>
      <c r="M18" t="inlineStr"/>
      <c r="N18" t="inlineStr">
        <is>
          <t>manual_review</t>
        </is>
      </c>
      <c r="O18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8" t="inlineStr">
        <is>
          <t>v1.0</t>
        </is>
      </c>
      <c r="Q18" t="inlineStr">
        <is>
          <t>Ermias</t>
        </is>
      </c>
    </row>
    <row r="19">
      <c r="B19" s="13" t="inlineStr">
        <is>
          <t>CS-13</t>
        </is>
      </c>
      <c r="C19" s="14" t="inlineStr">
        <is>
          <t>CS-13.wav</t>
        </is>
      </c>
      <c r="D19" s="13" t="inlineStr">
        <is>
          <t>Speaker-03</t>
        </is>
      </c>
      <c r="E19" s="13" t="inlineStr">
        <is>
          <t>Trauma / Emergency Medicine</t>
        </is>
      </c>
      <c r="F19" s="12" t="inlineStr">
        <is>
          <t>Amharic-English</t>
        </is>
      </c>
      <c r="H19" s="13" t="inlineStr">
        <is>
          <t>Involved in RTA with loss of consciousness for 10 minutes. Urgent Head CT scan እና cervical spine X-ray order አድርግ።</t>
        </is>
      </c>
      <c r="I19" s="13" t="inlineStr">
        <is>
          <t>RTA, Head CT scan, Cervical X-ray</t>
        </is>
      </c>
      <c r="K19" s="15" t="inlineStr">
        <is>
          <t>verified</t>
        </is>
      </c>
      <c r="L19" t="inlineStr"/>
      <c r="M19" t="inlineStr"/>
      <c r="N19" t="inlineStr">
        <is>
          <t>manual_review</t>
        </is>
      </c>
      <c r="O19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9" t="inlineStr">
        <is>
          <t>v1.0</t>
        </is>
      </c>
      <c r="Q19" t="inlineStr">
        <is>
          <t>Ermias</t>
        </is>
      </c>
    </row>
    <row r="20">
      <c r="B20" s="13" t="inlineStr">
        <is>
          <t>CS-14</t>
        </is>
      </c>
      <c r="C20" s="14" t="inlineStr">
        <is>
          <t>CS-14.wav</t>
        </is>
      </c>
      <c r="D20" s="13" t="inlineStr">
        <is>
          <t>Speaker-03</t>
        </is>
      </c>
      <c r="E20" s="13" t="inlineStr">
        <is>
          <t>Dermatology / Allergy &amp; Immunology</t>
        </is>
      </c>
      <c r="F20" s="12" t="inlineStr">
        <is>
          <t>Amharic-English</t>
        </is>
      </c>
      <c r="H20" s="13" t="inlineStr">
        <is>
          <t>Generalized maculopapular rash እና severe pruritus ስላለው Discontinue Ceftriaxone immediately</t>
        </is>
      </c>
      <c r="I20" s="13" t="inlineStr">
        <is>
          <t>Rash, Pruritus, Ceftriaxone</t>
        </is>
      </c>
      <c r="K20" s="15" t="inlineStr">
        <is>
          <t>verified</t>
        </is>
      </c>
      <c r="L20" t="inlineStr"/>
      <c r="M20" t="inlineStr"/>
      <c r="N20" t="inlineStr">
        <is>
          <t>manual_review</t>
        </is>
      </c>
      <c r="O20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20" t="inlineStr">
        <is>
          <t>v1.0</t>
        </is>
      </c>
      <c r="Q20" t="inlineStr">
        <is>
          <t>Ermias</t>
        </is>
      </c>
    </row>
    <row r="21">
      <c r="B21" s="13" t="inlineStr">
        <is>
          <t>CS-15</t>
        </is>
      </c>
      <c r="C21" s="14" t="inlineStr">
        <is>
          <t>CS-15.wav</t>
        </is>
      </c>
      <c r="D21" s="13" t="inlineStr">
        <is>
          <t>Speaker-03</t>
        </is>
      </c>
      <c r="E21" s="13" t="inlineStr">
        <is>
          <t>Neurology / Infectious Disease</t>
        </is>
      </c>
      <c r="F21" s="12" t="inlineStr">
        <is>
          <t>Amharic-English</t>
        </is>
      </c>
      <c r="H21" s="13" t="inlineStr">
        <is>
          <t>Severe headache</t>
        </is>
      </c>
      <c r="I21" s="13" t="inlineStr">
        <is>
          <t>Meningitis, Lumbar Puncture</t>
        </is>
      </c>
      <c r="K21" s="15" t="inlineStr">
        <is>
          <t>verified</t>
        </is>
      </c>
      <c r="L21" t="inlineStr"/>
      <c r="M21" t="inlineStr"/>
      <c r="N21" t="inlineStr">
        <is>
          <t>manual_review</t>
        </is>
      </c>
      <c r="O21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21" t="inlineStr">
        <is>
          <t>v1.0</t>
        </is>
      </c>
      <c r="Q21" t="inlineStr">
        <is>
          <t>Ermias</t>
        </is>
      </c>
    </row>
    <row r="22">
      <c r="B22" s="13" t="inlineStr">
        <is>
          <t>CS-16</t>
        </is>
      </c>
      <c r="C22" s="14" t="inlineStr">
        <is>
          <t>CS-16.wav</t>
        </is>
      </c>
      <c r="D22" s="13" t="inlineStr">
        <is>
          <t>Speaker-05</t>
        </is>
      </c>
      <c r="E22" s="13" t="inlineStr">
        <is>
          <t>Emergency / Trauma</t>
        </is>
      </c>
      <c r="F22" s="12" t="inlineStr">
        <is>
          <t>Amharic-English</t>
        </is>
      </c>
      <c r="H22" s="13" t="inlineStr">
        <is>
          <t>ሕመምተኛው ከፍ ያለ የትራፊክ አደጋ ደርሶበት የመኪና ውስጥ ጉዳት ስላለው፣ urgent head CT scan እና cervical spine X-ray ወዲያውኑ order አድርጉልኝ፡፡</t>
        </is>
      </c>
      <c r="I22" s="13" t="inlineStr">
        <is>
          <t>Trauma, Head CT, Cervical X-ray</t>
        </is>
      </c>
      <c r="K22" s="15" t="inlineStr">
        <is>
          <t>verified</t>
        </is>
      </c>
      <c r="L22" t="inlineStr"/>
      <c r="M22" t="inlineStr"/>
      <c r="N22" t="inlineStr">
        <is>
          <t>manual_review</t>
        </is>
      </c>
      <c r="O22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22" t="inlineStr">
        <is>
          <t>v1.0</t>
        </is>
      </c>
      <c r="Q22" t="inlineStr">
        <is>
          <t>Ermias</t>
        </is>
      </c>
    </row>
    <row r="23">
      <c r="B23" s="13" t="inlineStr">
        <is>
          <t>CS-17</t>
        </is>
      </c>
      <c r="C23" s="14" t="inlineStr">
        <is>
          <t>CS-17.wav</t>
        </is>
      </c>
      <c r="D23" s="13" t="inlineStr">
        <is>
          <t>Speaker-05</t>
        </is>
      </c>
      <c r="E23" s="13" t="inlineStr">
        <is>
          <t>Emergency / Neurology</t>
        </is>
      </c>
      <c r="F23" s="12" t="inlineStr">
        <is>
          <t>Amharic-English</t>
        </is>
      </c>
      <c r="H23" s="13" t="inlineStr">
        <is>
          <t>በመኪና አደጋ ምክንያት አጠቃላይ የንቃተ ህሊና ማጣት ለ 20 ደቂቃዎች ያህል አጋጥሞታል፣ ስለዚህ ቆይቶ neurological examination እና IV line ማስተካከል እንጀምራለን፡፡</t>
        </is>
      </c>
      <c r="I23" s="13" t="inlineStr">
        <is>
          <t>Loss of consciousness, Neurological exam</t>
        </is>
      </c>
      <c r="K23" s="15" t="inlineStr">
        <is>
          <t>verified</t>
        </is>
      </c>
      <c r="L23" t="inlineStr"/>
      <c r="M23" t="inlineStr"/>
      <c r="N23" t="inlineStr">
        <is>
          <t>manual_review</t>
        </is>
      </c>
      <c r="O23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23" t="inlineStr">
        <is>
          <t>v1.0</t>
        </is>
      </c>
      <c r="Q23" t="inlineStr">
        <is>
          <t>Ermias</t>
        </is>
      </c>
    </row>
    <row r="24" ht="17.25" customHeight="1" s="17">
      <c r="B24" s="13" t="inlineStr">
        <is>
          <t>CS-18</t>
        </is>
      </c>
      <c r="C24" s="14" t="inlineStr">
        <is>
          <t>CS-18.wav</t>
        </is>
      </c>
      <c r="D24" s="13" t="inlineStr">
        <is>
          <t>Speaker-05</t>
        </is>
      </c>
      <c r="E24" s="13" t="inlineStr">
        <is>
          <t>Emergency / Hematology</t>
        </is>
      </c>
      <c r="F24" s="12" t="inlineStr">
        <is>
          <t>Amharic-English</t>
        </is>
      </c>
      <c r="H24" s="13" t="inlineStr">
        <is>
          <t>ከፍተኛ የሆነ የደም መፍሰስ በግራ እጁ ላይ ስላለ፣ pressure dressing አድርገን ወዲያውኑ CBC እና blood typing መሥራት አለብን።</t>
        </is>
      </c>
      <c r="I24" s="13" t="inlineStr">
        <is>
          <t>Hemorrhage, Pressure dressing, CBC</t>
        </is>
      </c>
      <c r="K24" s="16" t="inlineStr">
        <is>
          <t>verified</t>
        </is>
      </c>
      <c r="L24" t="inlineStr"/>
      <c r="M24" t="inlineStr"/>
      <c r="N24" t="inlineStr">
        <is>
          <t>manual_review</t>
        </is>
      </c>
      <c r="O24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24" t="inlineStr">
        <is>
          <t>v1.0</t>
        </is>
      </c>
      <c r="Q24" t="inlineStr">
        <is>
          <t>Ermias</t>
        </is>
      </c>
    </row>
    <row r="25">
      <c r="B25" s="13" t="inlineStr">
        <is>
          <t>CS-19</t>
        </is>
      </c>
      <c r="C25" s="14" t="inlineStr">
        <is>
          <t>CS-19.wav</t>
        </is>
      </c>
      <c r="D25" s="13" t="inlineStr">
        <is>
          <t>Speaker-05</t>
        </is>
      </c>
      <c r="E25" s="13" t="inlineStr">
        <is>
          <t>Pediatric Pulmonology</t>
        </is>
      </c>
      <c r="F25" s="12" t="inlineStr">
        <is>
          <t>Amharic-English</t>
        </is>
      </c>
      <c r="H25" s="13" t="inlineStr">
        <is>
          <t>ሕፃኑ የ 2 ዓመት ልጅ ሲሆን ለ 3 ቀናት የሚቆይ ከባድ ሳል እና wheezing አለው፣ ስለዚህ nebulization ከ salbutamol ጋር አሁን እንሰጠዋለን።</t>
        </is>
      </c>
      <c r="I25" s="13" t="inlineStr">
        <is>
          <t>Pediatric cough, Wheezing, Salbutamol</t>
        </is>
      </c>
      <c r="K25" s="15" t="inlineStr">
        <is>
          <t>verified</t>
        </is>
      </c>
      <c r="L25" t="inlineStr"/>
      <c r="M25" t="inlineStr"/>
      <c r="N25" t="inlineStr">
        <is>
          <t>manual_review</t>
        </is>
      </c>
      <c r="O25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25" t="inlineStr">
        <is>
          <t>v1.0</t>
        </is>
      </c>
      <c r="Q25" t="inlineStr">
        <is>
          <t>Ermias</t>
        </is>
      </c>
    </row>
    <row r="26">
      <c r="B26" s="13" t="inlineStr">
        <is>
          <t>CS-20</t>
        </is>
      </c>
      <c r="C26" s="14" t="inlineStr">
        <is>
          <t>CS-20.wav</t>
        </is>
      </c>
      <c r="D26" s="13" t="inlineStr">
        <is>
          <t>Speaker-05</t>
        </is>
      </c>
      <c r="E26" s="13" t="inlineStr">
        <is>
          <t>Pediatric Gastroenterology</t>
        </is>
      </c>
      <c r="F26" s="12" t="inlineStr">
        <is>
          <t>Amharic-English</t>
        </is>
      </c>
      <c r="H26" s="13" t="inlineStr">
        <is>
          <t>ልጁ የማስታወክ እና watery diarrhea ምልክቶች ስላሉት፣ acute dehydration ሊሆን ስለሚችል IV Normal Saline bolus ጀምርለት።</t>
        </is>
      </c>
      <c r="I26" s="13" t="inlineStr">
        <is>
          <t>Diarrhea, Acute dehydration, NS bolus</t>
        </is>
      </c>
      <c r="K26" s="15" t="inlineStr">
        <is>
          <t>verified</t>
        </is>
      </c>
      <c r="L26" t="inlineStr"/>
      <c r="M26" t="inlineStr"/>
      <c r="N26" t="inlineStr">
        <is>
          <t>manual_review</t>
        </is>
      </c>
      <c r="O26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26" t="inlineStr">
        <is>
          <t>v1.0</t>
        </is>
      </c>
      <c r="Q26" t="inlineStr">
        <is>
          <t>Ermias</t>
        </is>
      </c>
    </row>
    <row r="27">
      <c r="B27" s="13" t="inlineStr">
        <is>
          <t>CS-21</t>
        </is>
      </c>
      <c r="C27" s="14" t="inlineStr">
        <is>
          <t>CS-21.wav</t>
        </is>
      </c>
      <c r="D27" s="13" t="inlineStr">
        <is>
          <t>Speaker-04</t>
        </is>
      </c>
      <c r="E27" s="13" t="inlineStr">
        <is>
          <t>Pediatric ENT</t>
        </is>
      </c>
      <c r="F27" s="12" t="inlineStr">
        <is>
          <t>Amharic-English</t>
        </is>
      </c>
      <c r="H27" s="13" t="inlineStr">
        <is>
          <t>ልጁ የማስታወክ እና watery diarrhea ምልክቶች ስላሉት፣ acute dehydration ሊሆን ስለሚችል IV Normal Saline bolus ጀምርለት።</t>
        </is>
      </c>
      <c r="I27" s="13" t="inlineStr">
        <is>
          <t>Tonsillitis, Amoxicillin suspension</t>
        </is>
      </c>
      <c r="K27" s="15" t="inlineStr">
        <is>
          <t>verified</t>
        </is>
      </c>
      <c r="L27" t="inlineStr"/>
      <c r="M27" t="inlineStr"/>
      <c r="N27" t="inlineStr">
        <is>
          <t>manual_review</t>
        </is>
      </c>
      <c r="O27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27" t="inlineStr">
        <is>
          <t>v1.0</t>
        </is>
      </c>
      <c r="Q27" t="inlineStr">
        <is>
          <t>Ermias</t>
        </is>
      </c>
    </row>
    <row r="28">
      <c r="B28" s="13" t="inlineStr">
        <is>
          <t>CS-22</t>
        </is>
      </c>
      <c r="C28" s="14" t="inlineStr">
        <is>
          <t>CS-22.wav</t>
        </is>
      </c>
      <c r="D28" s="13" t="inlineStr">
        <is>
          <t>Speaker-04</t>
        </is>
      </c>
      <c r="E28" s="13" t="inlineStr">
        <is>
          <t>Endocrinology</t>
        </is>
      </c>
      <c r="F28" s="12" t="inlineStr">
        <is>
          <t>Amharic-English</t>
        </is>
      </c>
      <c r="H28" s="13" t="inlineStr">
        <is>
          <t>የዛሬው ምርመራ ላይ fasting blood sugar 260 mg/dL ስለሆነ፣ Metformin 1000mg BID አስተካክለን እንቀጥላለን፡፡</t>
        </is>
      </c>
      <c r="I28" s="13" t="inlineStr">
        <is>
          <t>Hyperglycemia, Metformin adjustment</t>
        </is>
      </c>
      <c r="K28" s="15" t="inlineStr">
        <is>
          <t>verified</t>
        </is>
      </c>
      <c r="L28" t="inlineStr"/>
      <c r="M28" t="inlineStr"/>
      <c r="N28" t="inlineStr">
        <is>
          <t>manual_review</t>
        </is>
      </c>
      <c r="O28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28" t="inlineStr">
        <is>
          <t>v1.0</t>
        </is>
      </c>
      <c r="Q28" t="inlineStr">
        <is>
          <t>Ermias</t>
        </is>
      </c>
    </row>
    <row r="29">
      <c r="B29" s="13" t="inlineStr">
        <is>
          <t>CS-23</t>
        </is>
      </c>
      <c r="C29" s="14" t="inlineStr">
        <is>
          <t>CS-23.wav</t>
        </is>
      </c>
      <c r="D29" s="13" t="inlineStr">
        <is>
          <t>Speaker-04</t>
        </is>
      </c>
      <c r="E29" s="13" t="inlineStr">
        <is>
          <t>Endocrinology / Emergency</t>
        </is>
      </c>
      <c r="F29" s="12" t="inlineStr">
        <is>
          <t>Amharic-English</t>
        </is>
      </c>
      <c r="H29" s="13" t="inlineStr">
        <is>
          <t>ታካሚው ከፍተኛ ራስ ምታት እና Kussmaul breathing ስላለው፣ immediate random blood sugar እና urine ketones check ማድረግ አለብን።</t>
        </is>
      </c>
      <c r="I29" s="13" t="inlineStr">
        <is>
          <t>Kussmaul breathing, Blood sugar, Ketones</t>
        </is>
      </c>
      <c r="K29" s="15" t="inlineStr">
        <is>
          <t>verified</t>
        </is>
      </c>
      <c r="L29" t="inlineStr"/>
      <c r="M29" t="inlineStr"/>
      <c r="N29" t="inlineStr">
        <is>
          <t>manual_review</t>
        </is>
      </c>
      <c r="O29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29" t="inlineStr">
        <is>
          <t>v1.0</t>
        </is>
      </c>
      <c r="Q29" t="inlineStr">
        <is>
          <t>Ermias</t>
        </is>
      </c>
    </row>
    <row r="30">
      <c r="B30" s="13" t="inlineStr">
        <is>
          <t>CS-24</t>
        </is>
      </c>
      <c r="C30" s="14" t="inlineStr">
        <is>
          <t>CS-24.wav</t>
        </is>
      </c>
      <c r="D30" s="13" t="inlineStr">
        <is>
          <t>Speaker-04</t>
        </is>
      </c>
      <c r="E30" s="13" t="inlineStr">
        <is>
          <t>Endocrinology</t>
        </is>
      </c>
      <c r="F30" s="12" t="inlineStr">
        <is>
          <t>Amharic-English</t>
        </is>
      </c>
      <c r="H30" s="13" t="inlineStr">
        <is>
          <t>የታካሚው የአንገት እብጠት እና palpitation እየጨመረ ስለመጣ፣ TSH እና free T4 lab test order አድርግ።</t>
        </is>
      </c>
      <c r="I30" s="13" t="inlineStr">
        <is>
          <t>Neck swelling, TSH, Free T4</t>
        </is>
      </c>
      <c r="K30" s="15" t="inlineStr">
        <is>
          <t>verified</t>
        </is>
      </c>
      <c r="L30" t="inlineStr"/>
      <c r="M30" t="inlineStr"/>
      <c r="N30" t="inlineStr">
        <is>
          <t>manual_review</t>
        </is>
      </c>
      <c r="O30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30" t="inlineStr">
        <is>
          <t>v1.0</t>
        </is>
      </c>
      <c r="Q30" t="inlineStr">
        <is>
          <t>Ermias</t>
        </is>
      </c>
    </row>
    <row r="31">
      <c r="B31" s="13" t="inlineStr">
        <is>
          <t>CS-25</t>
        </is>
      </c>
      <c r="C31" s="14" t="inlineStr">
        <is>
          <t>CS-25.wav</t>
        </is>
      </c>
      <c r="D31" s="13" t="inlineStr">
        <is>
          <t>Speaker-04</t>
        </is>
      </c>
      <c r="E31" s="13" t="inlineStr">
        <is>
          <t>Cardiology / Emergency</t>
        </is>
      </c>
      <c r="F31" s="12" t="inlineStr">
        <is>
          <t>Amharic-English</t>
        </is>
      </c>
      <c r="H31" s="13" t="inlineStr">
        <is>
          <t>የደም ግፊቱ 180 በ 110 mmHg ደርሷል፣ እና ከባድ ራስ ምታት አለው፣ ስለዚህ Enalapril sublingually እንሰጣለን፡፡</t>
        </is>
      </c>
      <c r="I31" s="13" t="inlineStr">
        <is>
          <t>Hypertensive urgency, Enalapril</t>
        </is>
      </c>
      <c r="K31" s="15" t="inlineStr">
        <is>
          <t>verified</t>
        </is>
      </c>
      <c r="L31" t="inlineStr"/>
      <c r="M31" t="inlineStr"/>
      <c r="N31" t="inlineStr">
        <is>
          <t>manual_review</t>
        </is>
      </c>
      <c r="O31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31" t="inlineStr">
        <is>
          <t>v1.0</t>
        </is>
      </c>
      <c r="Q31" t="inlineStr">
        <is>
          <t>Ermias</t>
        </is>
      </c>
    </row>
    <row r="32">
      <c r="B32" s="13" t="inlineStr">
        <is>
          <t>CS-26</t>
        </is>
      </c>
      <c r="C32" s="14" t="inlineStr">
        <is>
          <t>CS-26.wav</t>
        </is>
      </c>
      <c r="D32" s="13" t="inlineStr">
        <is>
          <t>Speaker-04</t>
        </is>
      </c>
      <c r="E32" s="13" t="inlineStr">
        <is>
          <t>Cardiology / Pulmonology</t>
        </is>
      </c>
      <c r="F32" s="12" t="inlineStr">
        <is>
          <t>Amharic-English</t>
        </is>
      </c>
      <c r="H32" s="13" t="inlineStr">
        <is>
          <t>በሁለቱም እግሮቹ ላይ bilateral pitting edema እና shortness of breath ስላለው፣ Echocardiogram እና Chest X-ray አሳይ።</t>
        </is>
      </c>
      <c r="I32" s="13" t="inlineStr">
        <is>
          <t>Pitting edema, Shortness of breath, Echo</t>
        </is>
      </c>
      <c r="K32" s="15" t="inlineStr">
        <is>
          <t>verified</t>
        </is>
      </c>
      <c r="L32" t="inlineStr"/>
      <c r="M32" t="inlineStr"/>
      <c r="N32" t="inlineStr">
        <is>
          <t>manual_review</t>
        </is>
      </c>
      <c r="O32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32" t="inlineStr">
        <is>
          <t>v1.0</t>
        </is>
      </c>
      <c r="Q32" t="inlineStr">
        <is>
          <t>Ermias</t>
        </is>
      </c>
    </row>
    <row r="33">
      <c r="B33" s="13" t="inlineStr">
        <is>
          <t>CS-27</t>
        </is>
      </c>
      <c r="C33" s="14" t="inlineStr">
        <is>
          <t>CS-27.wav</t>
        </is>
      </c>
      <c r="D33" s="13" t="inlineStr">
        <is>
          <t>Speaker-04</t>
        </is>
      </c>
      <c r="E33" s="13" t="inlineStr">
        <is>
          <t>Cardiology / Emergency</t>
        </is>
      </c>
      <c r="F33" s="12" t="inlineStr">
        <is>
          <t>Amharic-English</t>
        </is>
      </c>
      <c r="H33" s="13" t="inlineStr">
        <is>
          <t>በግራ በኩል የሚሰማውን crushing chest pain እና sweating ስላስተዋልን፣ immediate 12-lead ECG እና troponin test እናድርግ።</t>
        </is>
      </c>
      <c r="I33" s="13" t="inlineStr">
        <is>
          <t>Crushing chest pain, ECG, Troponin</t>
        </is>
      </c>
      <c r="K33" s="15" t="inlineStr">
        <is>
          <t>verified</t>
        </is>
      </c>
      <c r="L33" t="inlineStr"/>
      <c r="M33" t="inlineStr"/>
      <c r="N33" t="inlineStr">
        <is>
          <t>manual_review</t>
        </is>
      </c>
      <c r="O33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33" t="inlineStr">
        <is>
          <t>v1.0</t>
        </is>
      </c>
      <c r="Q33" t="inlineStr">
        <is>
          <t>Ermias</t>
        </is>
      </c>
    </row>
    <row r="34">
      <c r="B34" s="13" t="inlineStr">
        <is>
          <t>CS-28</t>
        </is>
      </c>
      <c r="C34" s="14" t="inlineStr">
        <is>
          <t>CS-28.wav</t>
        </is>
      </c>
      <c r="D34" s="13" t="inlineStr">
        <is>
          <t>Speaker-04</t>
        </is>
      </c>
      <c r="E34" s="13" t="inlineStr">
        <is>
          <t>Infectious Disease / Pulmonology</t>
        </is>
      </c>
      <c r="F34" s="12" t="inlineStr">
        <is>
          <t>Amharic-English</t>
        </is>
      </c>
      <c r="H34" s="13" t="inlineStr">
        <is>
          <t>ለ 4 ሳምንታት የሚቆይ chronic cough</t>
        </is>
      </c>
      <c r="I34" s="13" t="inlineStr">
        <is>
          <t>Chronic cough, TB, GeneXpert</t>
        </is>
      </c>
      <c r="K34" s="15" t="inlineStr">
        <is>
          <t>verified</t>
        </is>
      </c>
      <c r="L34" t="inlineStr"/>
      <c r="M34" t="inlineStr"/>
      <c r="N34" t="inlineStr">
        <is>
          <t>manual_review</t>
        </is>
      </c>
      <c r="O34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34" t="inlineStr">
        <is>
          <t>v1.0</t>
        </is>
      </c>
      <c r="Q34" t="inlineStr">
        <is>
          <t>Ermias</t>
        </is>
      </c>
    </row>
    <row r="35">
      <c r="B35" s="13" t="inlineStr">
        <is>
          <t>CS-29</t>
        </is>
      </c>
      <c r="C35" s="14" t="inlineStr">
        <is>
          <t>CS-29.wav</t>
        </is>
      </c>
      <c r="D35" s="13" t="inlineStr">
        <is>
          <t>Speaker-04</t>
        </is>
      </c>
      <c r="E35" s="13" t="inlineStr">
        <is>
          <t>Infectious Disease / Tropical Medicine</t>
        </is>
      </c>
      <c r="F35" s="12" t="inlineStr">
        <is>
          <t>Amharic-English</t>
        </is>
      </c>
      <c r="H35" s="13" t="inlineStr">
        <is>
          <t>የሰውነቱ ሙቀት ከፍ ያለ እና intermittent fever ከ chills ጋር ስላለው፣ blood film for malaria parasites እና CBC እናዘዝ።</t>
        </is>
      </c>
      <c r="I35" s="13" t="inlineStr">
        <is>
          <t>Intermittent fever, Chills, Malaria film</t>
        </is>
      </c>
      <c r="K35" s="15" t="inlineStr">
        <is>
          <t>verified</t>
        </is>
      </c>
      <c r="L35" t="inlineStr"/>
      <c r="M35" t="inlineStr"/>
      <c r="N35" t="inlineStr">
        <is>
          <t>manual_review</t>
        </is>
      </c>
      <c r="O35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35" t="inlineStr">
        <is>
          <t>v1.0</t>
        </is>
      </c>
      <c r="Q35" t="inlineStr">
        <is>
          <t>Ermias</t>
        </is>
      </c>
    </row>
    <row r="36">
      <c r="B36" s="13" t="inlineStr">
        <is>
          <t>CS-30</t>
        </is>
      </c>
      <c r="C36" s="14" t="inlineStr">
        <is>
          <t>CS-30.wav</t>
        </is>
      </c>
      <c r="D36" s="13" t="inlineStr">
        <is>
          <t>Speaker-04</t>
        </is>
      </c>
      <c r="E36" s="13" t="inlineStr">
        <is>
          <t>Pulmonology / Infectious Disease</t>
        </is>
      </c>
      <c r="F36" s="12" t="inlineStr">
        <is>
          <t>Amharic-English</t>
        </is>
      </c>
      <c r="H36" s="13" t="inlineStr">
        <is>
          <t>Chest X-ray ላይ consolidation እና crackles ስላሉ Ceftriaxone 1g IV BID እና Azithromycin 500mg PO ጀምርለት።</t>
        </is>
      </c>
      <c r="I36" s="13" t="inlineStr">
        <is>
          <t>Consolidation, Ceftriaxone, Azithromycin</t>
        </is>
      </c>
      <c r="K36" s="15" t="inlineStr">
        <is>
          <t>verified</t>
        </is>
      </c>
      <c r="L36" t="inlineStr"/>
      <c r="M36" t="inlineStr"/>
      <c r="N36" t="inlineStr">
        <is>
          <t>manual_review</t>
        </is>
      </c>
      <c r="O36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36" t="inlineStr">
        <is>
          <t>v1.0</t>
        </is>
      </c>
      <c r="Q36" t="inlineStr">
        <is>
          <t>Ermias</t>
        </is>
      </c>
    </row>
    <row r="37">
      <c r="B37" s="13" t="inlineStr">
        <is>
          <t>CS-31</t>
        </is>
      </c>
      <c r="C37" s="14" t="inlineStr">
        <is>
          <t>CS-31.wav</t>
        </is>
      </c>
      <c r="D37" s="13" t="inlineStr">
        <is>
          <t>Speaker-04</t>
        </is>
      </c>
      <c r="E37" s="13" t="inlineStr">
        <is>
          <t>Obstetrics &amp; Gynecology (OBGYN)</t>
        </is>
      </c>
      <c r="F37" s="12" t="inlineStr">
        <is>
          <t>Amharic-English</t>
        </is>
      </c>
      <c r="H37" s="13" t="inlineStr">
        <is>
          <t>ይህች እናት Gravida 4, Para 3 ስትሆን አሁን በ 38 weeks gestation ላይ regular uterine contractions አሏት።</t>
        </is>
      </c>
      <c r="I37" s="13" t="inlineStr">
        <is>
          <t>Gravida 4 Para 3, Gestation, Contractions</t>
        </is>
      </c>
      <c r="K37" s="15" t="inlineStr">
        <is>
          <t>verified</t>
        </is>
      </c>
      <c r="L37" t="inlineStr"/>
      <c r="M37" t="inlineStr"/>
      <c r="N37" t="inlineStr">
        <is>
          <t>manual_review</t>
        </is>
      </c>
      <c r="O37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37" t="inlineStr">
        <is>
          <t>v1.0</t>
        </is>
      </c>
      <c r="Q37" t="inlineStr">
        <is>
          <t>Ermias</t>
        </is>
      </c>
    </row>
    <row r="38">
      <c r="B38" s="13" t="inlineStr">
        <is>
          <t>CS-32</t>
        </is>
      </c>
      <c r="C38" s="14" t="inlineStr">
        <is>
          <t>CS-32.wav</t>
        </is>
      </c>
      <c r="D38" s="13" t="inlineStr">
        <is>
          <t>Speaker-04</t>
        </is>
      </c>
      <c r="E38" s="13" t="inlineStr">
        <is>
          <t>Obstetrics &amp; Gynecology (OBGYN)</t>
        </is>
      </c>
      <c r="F38" s="12" t="inlineStr">
        <is>
          <t>Amharic-English</t>
        </is>
      </c>
      <c r="H38" s="13" t="inlineStr">
        <is>
          <t>Blood pressure 160/110mmHg እና proteinuria +3 ስለታየ immediate magnesium sulfate protocol እንጀምራለን።</t>
        </is>
      </c>
      <c r="I38" s="13" t="inlineStr">
        <is>
          <t>Preeclampsia, Proteinuria, Magnesium sulfate</t>
        </is>
      </c>
      <c r="K38" s="15" t="inlineStr">
        <is>
          <t>verified</t>
        </is>
      </c>
      <c r="L38" t="inlineStr"/>
      <c r="M38" t="inlineStr"/>
      <c r="N38" t="inlineStr">
        <is>
          <t>manual_review</t>
        </is>
      </c>
      <c r="O38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38" t="inlineStr">
        <is>
          <t>v1.0</t>
        </is>
      </c>
      <c r="Q38" t="inlineStr">
        <is>
          <t>Ermias</t>
        </is>
      </c>
    </row>
    <row r="39">
      <c r="B39" s="13" t="inlineStr">
        <is>
          <t>CS-33</t>
        </is>
      </c>
      <c r="C39" s="14" t="inlineStr">
        <is>
          <t>CS-33.wav</t>
        </is>
      </c>
      <c r="D39" s="13" t="inlineStr">
        <is>
          <t>Speaker-04</t>
        </is>
      </c>
      <c r="E39" s="13" t="inlineStr">
        <is>
          <t>Obstetrics &amp; Gynecology (OBGYN)</t>
        </is>
      </c>
      <c r="F39" s="12" t="inlineStr">
        <is>
          <t>Amharic-English</t>
        </is>
      </c>
      <c r="H39" s="13" t="inlineStr">
        <is>
          <t>የማህፀን በር ከፍቱ 8 ሴንቲሜትር ደርሷል፣ membranes ruptured ስለሆኑ፣ ወደ labor ward እናስገባታለን።</t>
        </is>
      </c>
      <c r="I39" s="13" t="inlineStr">
        <is>
          <t>Cervical dilation, Ruptured membranes</t>
        </is>
      </c>
      <c r="K39" s="15" t="inlineStr">
        <is>
          <t>verified</t>
        </is>
      </c>
      <c r="L39" t="inlineStr"/>
      <c r="M39" t="inlineStr"/>
      <c r="N39" t="inlineStr">
        <is>
          <t>manual_review</t>
        </is>
      </c>
      <c r="O39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39" t="inlineStr">
        <is>
          <t>v1.0</t>
        </is>
      </c>
      <c r="Q39" t="inlineStr">
        <is>
          <t>Ermias</t>
        </is>
      </c>
    </row>
    <row r="40">
      <c r="B40" s="13" t="inlineStr">
        <is>
          <t>CS-34</t>
        </is>
      </c>
      <c r="C40" s="14" t="inlineStr">
        <is>
          <t>CS-34.wav</t>
        </is>
      </c>
      <c r="D40" s="13" t="inlineStr">
        <is>
          <t>Speaker-04</t>
        </is>
      </c>
      <c r="E40" s="13" t="inlineStr">
        <is>
          <t>Dermatology / Allergy &amp; Immunology</t>
        </is>
      </c>
      <c r="F40" s="12" t="inlineStr">
        <is>
          <t>Amharic-English</t>
        </is>
      </c>
      <c r="H40" s="13" t="inlineStr">
        <is>
          <t>በመድኃኒት አለርጂ ምክንያት generalized maculopapular rash እና severe pruritus አለው፣ ስለዚህ Ceftriaxone ወዲያውኑ discontinue እንድርግ።</t>
        </is>
      </c>
      <c r="I40" s="13" t="inlineStr">
        <is>
          <t>Drug allergy, Rash, Pruritus</t>
        </is>
      </c>
      <c r="K40" s="15" t="inlineStr">
        <is>
          <t>verified</t>
        </is>
      </c>
      <c r="L40" t="inlineStr"/>
      <c r="M40" t="inlineStr"/>
      <c r="N40" t="inlineStr">
        <is>
          <t>manual_review</t>
        </is>
      </c>
      <c r="O40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40" t="inlineStr">
        <is>
          <t>v1.0</t>
        </is>
      </c>
      <c r="Q40" t="inlineStr">
        <is>
          <t>Ermias</t>
        </is>
      </c>
    </row>
    <row r="41">
      <c r="B41" s="13" t="inlineStr">
        <is>
          <t>CS-35</t>
        </is>
      </c>
      <c r="C41" s="14" t="inlineStr">
        <is>
          <t>CS-35.wav</t>
        </is>
      </c>
      <c r="D41" s="13" t="inlineStr">
        <is>
          <t>Speaker-04</t>
        </is>
      </c>
      <c r="E41" s="13" t="inlineStr">
        <is>
          <t>Allergy &amp; Immunology / Dermatology</t>
        </is>
      </c>
      <c r="F41" s="12" t="inlineStr">
        <is>
          <t>Amharic-English</t>
        </is>
      </c>
      <c r="H41" s="13" t="inlineStr">
        <is>
          <t>የከንፈር ማበጥ (lip swelling) እና urticaria በመላ አካሉ ላይ ስላለ፣ IV Hydrocortisone 100mg እና Chlorpheniramine እንሰጣለን።</t>
        </is>
      </c>
      <c r="I41" s="13" t="inlineStr">
        <is>
          <t>Lip swelling, Urticaria, Hydrocortisone</t>
        </is>
      </c>
      <c r="K41" s="15" t="inlineStr">
        <is>
          <t>verified</t>
        </is>
      </c>
      <c r="L41" t="inlineStr"/>
      <c r="M41" t="inlineStr"/>
      <c r="N41" t="inlineStr">
        <is>
          <t>manual_review</t>
        </is>
      </c>
      <c r="O41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41" t="inlineStr">
        <is>
          <t>v1.0</t>
        </is>
      </c>
      <c r="Q41" t="inlineStr">
        <is>
          <t>Ermias</t>
        </is>
      </c>
    </row>
    <row r="42">
      <c r="B42" s="13" t="inlineStr">
        <is>
          <t>CS-36</t>
        </is>
      </c>
      <c r="C42" s="14" t="inlineStr">
        <is>
          <t>CS-36.wav</t>
        </is>
      </c>
      <c r="D42" s="13" t="inlineStr">
        <is>
          <t>Speaker-04</t>
        </is>
      </c>
      <c r="E42" s="13" t="inlineStr">
        <is>
          <t>Neurology / Infectious Disease</t>
        </is>
      </c>
      <c r="F42" s="12" t="inlineStr">
        <is>
          <t>Amharic-English</t>
        </is>
      </c>
      <c r="H42" s="13" t="inlineStr">
        <is>
          <t>ከባድ ራስ ምታት፣ neck stiffness እና photophobia ስላለው Kernig's sign positive ሆኗል፤ ስለዚህ lumbar puncture እናደርጋለን፡፡</t>
        </is>
      </c>
      <c r="I42" s="13" t="inlineStr">
        <is>
          <t>Meningitis, Kernig's sign, Lumbar puncture</t>
        </is>
      </c>
      <c r="K42" s="15" t="inlineStr">
        <is>
          <t>verified</t>
        </is>
      </c>
      <c r="L42" t="inlineStr"/>
      <c r="M42" t="inlineStr"/>
      <c r="N42" t="inlineStr">
        <is>
          <t>manual_review</t>
        </is>
      </c>
      <c r="O42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42" t="inlineStr">
        <is>
          <t>v1.0</t>
        </is>
      </c>
      <c r="Q42" t="inlineStr">
        <is>
          <t>Ermias</t>
        </is>
      </c>
    </row>
    <row r="43">
      <c r="B43" s="13" t="inlineStr">
        <is>
          <t>CS-37</t>
        </is>
      </c>
      <c r="C43" s="14" t="inlineStr">
        <is>
          <t>CS-37.wav</t>
        </is>
      </c>
      <c r="D43" s="13" t="inlineStr">
        <is>
          <t>Speaker-04</t>
        </is>
      </c>
      <c r="E43" s="13" t="inlineStr">
        <is>
          <t>Neurology / Stroke Care</t>
        </is>
      </c>
      <c r="F43" s="12" t="inlineStr">
        <is>
          <t>Amharic-English</t>
        </is>
      </c>
      <c r="H43" s="13" t="inlineStr">
        <is>
          <t>የቀኝ እጁ እና እግሩ ድክመት (left hemiparesis) እና slurred speech በአንድ ሰዓት ውስጥ አጋጥሞታል፣ ወዲያውኑ non-contrast brain CT scan እናዘዝ።</t>
        </is>
      </c>
      <c r="I43" s="13" t="inlineStr">
        <is>
          <t>Hemiparesis, Slurred speech, Brain CT</t>
        </is>
      </c>
      <c r="K43" s="15" t="inlineStr">
        <is>
          <t>verified</t>
        </is>
      </c>
      <c r="L43" t="inlineStr"/>
      <c r="M43" t="inlineStr"/>
      <c r="N43" t="inlineStr">
        <is>
          <t>manual_review</t>
        </is>
      </c>
      <c r="O43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43" t="inlineStr">
        <is>
          <t>v1.0</t>
        </is>
      </c>
      <c r="Q43" t="inlineStr">
        <is>
          <t>Ermias</t>
        </is>
      </c>
    </row>
    <row r="44">
      <c r="B44" s="13" t="inlineStr">
        <is>
          <t>CS-38</t>
        </is>
      </c>
      <c r="C44" s="14" t="inlineStr">
        <is>
          <t>CS-38.wav</t>
        </is>
      </c>
      <c r="D44" s="13" t="inlineStr">
        <is>
          <t>Speaker-04</t>
        </is>
      </c>
      <c r="E44" s="13" t="inlineStr">
        <is>
          <t>General Surgery / Gastroenterology</t>
        </is>
      </c>
      <c r="F44" s="12" t="inlineStr">
        <is>
          <t>Amharic-English</t>
        </is>
      </c>
      <c r="H44" s="13" t="inlineStr">
        <is>
          <t>በቀኝ የታችኛው የሆድ ክፍል (right lower quadrant) severe tenderness እና rebound tenderness ስላለ፣ acute appendicitis rule out እንድርግ።</t>
        </is>
      </c>
      <c r="I44" s="13" t="inlineStr">
        <is>
          <t>Right lower quadrant tenderness, Appendicitis</t>
        </is>
      </c>
      <c r="K44" s="15" t="inlineStr">
        <is>
          <t>verified</t>
        </is>
      </c>
      <c r="L44" t="inlineStr"/>
      <c r="M44" t="inlineStr"/>
      <c r="N44" t="inlineStr">
        <is>
          <t>manual_review</t>
        </is>
      </c>
      <c r="O44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44" t="inlineStr">
        <is>
          <t>v1.0</t>
        </is>
      </c>
      <c r="Q44" t="inlineStr">
        <is>
          <t>Ermias</t>
        </is>
      </c>
    </row>
    <row r="45">
      <c r="B45" s="13" t="inlineStr">
        <is>
          <t>CS-39</t>
        </is>
      </c>
      <c r="C45" s="14" t="inlineStr">
        <is>
          <t>CS-39.wav</t>
        </is>
      </c>
      <c r="D45" s="13" t="inlineStr">
        <is>
          <t>Speaker-04</t>
        </is>
      </c>
      <c r="E45" s="13" t="inlineStr">
        <is>
          <t>Urology / Nephrology</t>
        </is>
      </c>
      <c r="F45" s="12" t="inlineStr">
        <is>
          <t>Amharic-English</t>
        </is>
      </c>
      <c r="H45" s="13" t="inlineStr">
        <is>
          <t>Dysuria እና frequent urination ከ lower back pain ጋር ስላለው urinalysis እና urine culture እናዘዝ።</t>
        </is>
      </c>
      <c r="I45" s="13" t="inlineStr">
        <is>
          <t>Dysuria, Frequent urination, Urinalysis</t>
        </is>
      </c>
      <c r="K45" s="15" t="inlineStr">
        <is>
          <t>verified</t>
        </is>
      </c>
      <c r="L45" t="inlineStr"/>
      <c r="M45" t="inlineStr"/>
      <c r="N45" t="inlineStr">
        <is>
          <t>manual_review</t>
        </is>
      </c>
      <c r="O45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45" t="inlineStr">
        <is>
          <t>v1.0</t>
        </is>
      </c>
      <c r="Q45" t="inlineStr">
        <is>
          <t>Ermias</t>
        </is>
      </c>
    </row>
    <row r="46">
      <c r="B46" s="13" t="inlineStr">
        <is>
          <t>CS-40</t>
        </is>
      </c>
      <c r="C46" s="14" t="inlineStr">
        <is>
          <t>CS-40.wav</t>
        </is>
      </c>
      <c r="D46" s="13" t="inlineStr">
        <is>
          <t>Speaker-04</t>
        </is>
      </c>
      <c r="E46" s="13" t="inlineStr">
        <is>
          <t>Gastroenterology</t>
        </is>
      </c>
      <c r="F46" s="12" t="inlineStr">
        <is>
          <t>Amharic-English</t>
        </is>
      </c>
      <c r="H46" s="13" t="inlineStr">
        <is>
          <t>ብዙ ጊዜ የሚያስታውከና watery diarrhea ያለው ታካሚ ስለሆነ፣ stool analysis እና IV fluid resuscitation እንጀምራለን፡፡</t>
        </is>
      </c>
      <c r="I46" s="13" t="inlineStr">
        <is>
          <t>Watery diarrhea, Stool analysis, IV fluids</t>
        </is>
      </c>
      <c r="K46" s="15" t="inlineStr">
        <is>
          <t>verified</t>
        </is>
      </c>
      <c r="L46" t="inlineStr"/>
      <c r="M46" t="inlineStr"/>
      <c r="N46" t="inlineStr">
        <is>
          <t>manual_review</t>
        </is>
      </c>
      <c r="O46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46" t="inlineStr">
        <is>
          <t>v1.0</t>
        </is>
      </c>
      <c r="Q46" t="inlineStr">
        <is>
          <t>Ermias</t>
        </is>
      </c>
    </row>
    <row r="47">
      <c r="B47" s="13" t="inlineStr">
        <is>
          <t>CS-41</t>
        </is>
      </c>
      <c r="C47" s="14" t="inlineStr">
        <is>
          <t>CS-41.wav</t>
        </is>
      </c>
      <c r="D47" s="13" t="inlineStr">
        <is>
          <t>Speaker-04</t>
        </is>
      </c>
      <c r="E47" s="13" t="inlineStr">
        <is>
          <t>Pain Management / Orthopedics</t>
        </is>
      </c>
      <c r="F47" s="12" t="inlineStr">
        <is>
          <t>Amharic-English</t>
        </is>
      </c>
      <c r="H47" s="13" t="inlineStr">
        <is>
          <t>Chronic back pain ስላለው Tramadol 50mg PO BID ለ 5 ቀናት ብቻ አዘዝኩለት።</t>
        </is>
      </c>
      <c r="I47" s="13" t="inlineStr">
        <is>
          <t>Chronic back pain, Tramadol</t>
        </is>
      </c>
      <c r="K47" s="15" t="inlineStr">
        <is>
          <t>verified</t>
        </is>
      </c>
      <c r="L47" t="inlineStr"/>
      <c r="M47" t="inlineStr"/>
      <c r="N47" t="inlineStr">
        <is>
          <t>manual_review</t>
        </is>
      </c>
      <c r="O47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47" t="inlineStr">
        <is>
          <t>v1.0</t>
        </is>
      </c>
      <c r="Q47" t="inlineStr">
        <is>
          <t>Ermias</t>
        </is>
      </c>
    </row>
    <row r="48">
      <c r="B48" s="13" t="inlineStr">
        <is>
          <t>CS-42</t>
        </is>
      </c>
      <c r="C48" s="14" t="inlineStr">
        <is>
          <t>CS-42.wav</t>
        </is>
      </c>
      <c r="D48" s="13" t="inlineStr">
        <is>
          <t>Speaker-04</t>
        </is>
      </c>
      <c r="E48" s="13" t="inlineStr">
        <is>
          <t>Gastroenterology</t>
        </is>
      </c>
      <c r="F48" s="12" t="inlineStr">
        <is>
          <t>Amharic-English</t>
        </is>
      </c>
      <c r="H48" s="13" t="inlineStr">
        <is>
          <t>Gastritis እና heartburn ስላለው Omeprazole 20mg PO daily ከbreakfast በፊት 30 ደቂቃ እንዲወስድ እናዘዛለን።</t>
        </is>
      </c>
      <c r="I48" s="13" t="inlineStr">
        <is>
          <t>Gastritis, Heartburn, Omeprazole</t>
        </is>
      </c>
      <c r="K48" s="15" t="inlineStr">
        <is>
          <t>verified</t>
        </is>
      </c>
      <c r="L48" t="inlineStr"/>
      <c r="M48" t="inlineStr"/>
      <c r="N48" t="inlineStr">
        <is>
          <t>manual_review</t>
        </is>
      </c>
      <c r="O48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48" t="inlineStr">
        <is>
          <t>v1.0</t>
        </is>
      </c>
      <c r="Q48" t="inlineStr">
        <is>
          <t>Ermias</t>
        </is>
      </c>
    </row>
    <row r="49">
      <c r="B49" s="13" t="inlineStr">
        <is>
          <t>CS-43</t>
        </is>
      </c>
      <c r="C49" s="14" t="inlineStr">
        <is>
          <t>CS-43.wav</t>
        </is>
      </c>
      <c r="D49" s="13" t="inlineStr">
        <is>
          <t>Speaker-04</t>
        </is>
      </c>
      <c r="E49" s="13" t="inlineStr">
        <is>
          <t>Rheumatology / Orthopedics</t>
        </is>
      </c>
      <c r="F49" s="12" t="inlineStr">
        <is>
          <t>Amharic-English</t>
        </is>
      </c>
      <c r="H49" s="13" t="inlineStr">
        <is>
          <t>የ Knee መገጣጠሚያ ጉዳት እና swelling ስላለው Ibuprofen 400mg PO TID ከምግብ በኋላ አብሮ ከ Omeprazole ጋር እንሰጣለን።</t>
        </is>
      </c>
      <c r="I49" s="13" t="inlineStr">
        <is>
          <t>Joint swelling, Ibuprofen, Omeprazole</t>
        </is>
      </c>
      <c r="K49" s="15" t="inlineStr">
        <is>
          <t>verified</t>
        </is>
      </c>
      <c r="L49" t="inlineStr"/>
      <c r="M49" t="inlineStr"/>
      <c r="N49" t="inlineStr">
        <is>
          <t>manual_review</t>
        </is>
      </c>
      <c r="O49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49" t="inlineStr">
        <is>
          <t>v1.0</t>
        </is>
      </c>
      <c r="Q49" t="inlineStr">
        <is>
          <t>Ermias</t>
        </is>
      </c>
    </row>
    <row r="50">
      <c r="B50" s="13" t="inlineStr">
        <is>
          <t>CS-44</t>
        </is>
      </c>
      <c r="C50" s="14" t="inlineStr">
        <is>
          <t>CS-44.wav</t>
        </is>
      </c>
      <c r="D50" s="13" t="inlineStr">
        <is>
          <t>Speaker-04</t>
        </is>
      </c>
      <c r="E50" s="13" t="inlineStr">
        <is>
          <t>ENT / Allergy</t>
        </is>
      </c>
      <c r="F50" s="12" t="inlineStr">
        <is>
          <t>Amharic-English</t>
        </is>
      </c>
      <c r="H50" s="13" t="inlineStr">
        <is>
          <t>የአፍንጫ ማሳከክ፣ sneezing እና watery discharge ባለበት ታካሚ ላይ Cetirizine 10mg PO daily እናዘዝ።</t>
        </is>
      </c>
      <c r="I50" s="13" t="inlineStr">
        <is>
          <t>Allergic rhinitis, Cetirizine</t>
        </is>
      </c>
      <c r="K50" s="15" t="inlineStr">
        <is>
          <t>verified</t>
        </is>
      </c>
      <c r="L50" t="inlineStr"/>
      <c r="M50" t="inlineStr"/>
      <c r="N50" t="inlineStr">
        <is>
          <t>manual_review</t>
        </is>
      </c>
      <c r="O50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50" t="inlineStr">
        <is>
          <t>v1.0</t>
        </is>
      </c>
      <c r="Q50" t="inlineStr">
        <is>
          <t>Ermias</t>
        </is>
      </c>
    </row>
    <row r="51">
      <c r="B51" s="13" t="inlineStr">
        <is>
          <t>CS-45</t>
        </is>
      </c>
      <c r="C51" s="14" t="inlineStr">
        <is>
          <t>CS-45.wav</t>
        </is>
      </c>
      <c r="D51" s="13" t="inlineStr">
        <is>
          <t>Speaker-04</t>
        </is>
      </c>
      <c r="E51" s="13" t="inlineStr">
        <is>
          <t>Hematology</t>
        </is>
      </c>
      <c r="F51" s="12" t="inlineStr">
        <is>
          <t>Amharic-English</t>
        </is>
      </c>
      <c r="H51" s="13" t="inlineStr">
        <is>
          <t>የደም ማነስ (anemia) ምልክቶች እና pale conjunctiva ስለታየበት Ferrous Sulfate 200mg PO TID ከ Vitamin C ጋር እናዘዝ።</t>
        </is>
      </c>
      <c r="I51" s="13" t="inlineStr">
        <is>
          <t>Anemia, Pale conjunctiva, Ferrous sulfate</t>
        </is>
      </c>
      <c r="K51" s="15" t="inlineStr">
        <is>
          <t>verified</t>
        </is>
      </c>
      <c r="L51" t="inlineStr"/>
      <c r="M51" t="inlineStr"/>
      <c r="N51" t="inlineStr">
        <is>
          <t>manual_review</t>
        </is>
      </c>
      <c r="O51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51" t="inlineStr">
        <is>
          <t>v1.0</t>
        </is>
      </c>
      <c r="Q51" t="inlineStr">
        <is>
          <t>Ermias</t>
        </is>
      </c>
    </row>
    <row r="52">
      <c r="B52" s="13" t="inlineStr">
        <is>
          <t>CS-46</t>
        </is>
      </c>
      <c r="C52" s="14" t="inlineStr">
        <is>
          <t>CS-46.wav</t>
        </is>
      </c>
      <c r="D52" s="13" t="inlineStr">
        <is>
          <t>Speaker-04</t>
        </is>
      </c>
      <c r="E52" s="13" t="inlineStr">
        <is>
          <t>Psychiatry</t>
        </is>
      </c>
      <c r="F52" s="12" t="inlineStr">
        <is>
          <t>Amharic-English</t>
        </is>
      </c>
      <c r="H52" s="13" t="inlineStr">
        <is>
          <t>ታካሚው ባለፉት ሁለት ሳምንታት ውስጥ depressed mood</t>
        </is>
      </c>
      <c r="I52" s="13" t="inlineStr">
        <is>
          <t>Depression, Insomnia, PHQ-9</t>
        </is>
      </c>
      <c r="K52" s="15" t="inlineStr">
        <is>
          <t>verified</t>
        </is>
      </c>
      <c r="L52" t="inlineStr"/>
      <c r="M52" t="inlineStr"/>
      <c r="N52" t="inlineStr">
        <is>
          <t>manual_review</t>
        </is>
      </c>
      <c r="O52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52" t="inlineStr">
        <is>
          <t>v1.0</t>
        </is>
      </c>
      <c r="Q52" t="inlineStr">
        <is>
          <t>Ermias</t>
        </is>
      </c>
    </row>
    <row r="53">
      <c r="B53" s="13" t="inlineStr">
        <is>
          <t>CS-47</t>
        </is>
      </c>
      <c r="C53" s="14" t="inlineStr">
        <is>
          <t>CS-47.wav</t>
        </is>
      </c>
      <c r="D53" s="13" t="inlineStr">
        <is>
          <t>Speaker-04</t>
        </is>
      </c>
      <c r="E53" s="13" t="inlineStr">
        <is>
          <t>Psychiatry / Emergency</t>
        </is>
      </c>
      <c r="F53" s="12" t="inlineStr">
        <is>
          <t>Amharic-English</t>
        </is>
      </c>
      <c r="H53" s="13" t="inlineStr">
        <is>
          <t>Acute anxiety ከ palpitation</t>
        </is>
      </c>
      <c r="I53" s="13" t="inlineStr">
        <is>
          <t>Anxiety, Panic attack, Lorazepam</t>
        </is>
      </c>
      <c r="K53" s="15" t="inlineStr">
        <is>
          <t>verified</t>
        </is>
      </c>
      <c r="L53" t="inlineStr"/>
      <c r="M53" t="inlineStr"/>
      <c r="N53" t="inlineStr">
        <is>
          <t>manual_review</t>
        </is>
      </c>
      <c r="O53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53" t="inlineStr">
        <is>
          <t>v1.0</t>
        </is>
      </c>
      <c r="Q53" t="inlineStr">
        <is>
          <t>Ermias</t>
        </is>
      </c>
    </row>
    <row r="54">
      <c r="B54" s="13" t="inlineStr">
        <is>
          <t>CS-48</t>
        </is>
      </c>
      <c r="C54" s="14" t="inlineStr">
        <is>
          <t>CS-48.wav</t>
        </is>
      </c>
      <c r="D54" s="13" t="inlineStr">
        <is>
          <t>Speaker-04</t>
        </is>
      </c>
      <c r="E54" s="13" t="inlineStr">
        <is>
          <t>Orthopedics / Trauma</t>
        </is>
      </c>
      <c r="F54" s="12" t="inlineStr">
        <is>
          <t>Amharic-English</t>
        </is>
      </c>
      <c r="H54" s="13" t="inlineStr">
        <is>
          <t>የቀኝ እግር tibia shaft fracture ስላለበት፣ closed reduction አድርገን above-knee plaster cast እናድርግ።</t>
        </is>
      </c>
      <c r="I54" s="13" t="inlineStr">
        <is>
          <t>Tibia fracture, Reduction, Plaster cast</t>
        </is>
      </c>
      <c r="K54" s="15" t="inlineStr">
        <is>
          <t>verified</t>
        </is>
      </c>
      <c r="L54" t="inlineStr"/>
      <c r="M54" t="inlineStr"/>
      <c r="N54" t="inlineStr">
        <is>
          <t>manual_review</t>
        </is>
      </c>
      <c r="O54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54" t="inlineStr">
        <is>
          <t>v1.0</t>
        </is>
      </c>
      <c r="Q54" t="inlineStr">
        <is>
          <t>Ermias</t>
        </is>
      </c>
    </row>
    <row r="55">
      <c r="B55" s="13" t="inlineStr">
        <is>
          <t>CS-49</t>
        </is>
      </c>
      <c r="C55" s="14" t="inlineStr">
        <is>
          <t>CS-49.wav</t>
        </is>
      </c>
      <c r="D55" s="13" t="inlineStr">
        <is>
          <t>Speaker-04</t>
        </is>
      </c>
      <c r="E55" s="13" t="inlineStr">
        <is>
          <t>Ophthalmology / Emergency</t>
        </is>
      </c>
      <c r="F55" s="12" t="inlineStr">
        <is>
          <t>Amharic-English</t>
        </is>
      </c>
      <c r="H55" s="13" t="inlineStr">
        <is>
          <t>Acute glaucoma ስላለ severe ocular pain</t>
        </is>
      </c>
      <c r="I55" s="13" t="inlineStr">
        <is>
          <t>Acute glaucoma, Ocular pain, Timolol</t>
        </is>
      </c>
      <c r="K55" s="15" t="inlineStr">
        <is>
          <t>verified</t>
        </is>
      </c>
      <c r="L55" t="inlineStr"/>
      <c r="M55" t="inlineStr"/>
      <c r="N55" t="inlineStr">
        <is>
          <t>manual_review</t>
        </is>
      </c>
      <c r="O55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55" t="inlineStr">
        <is>
          <t>v1.0</t>
        </is>
      </c>
      <c r="Q55" t="inlineStr">
        <is>
          <t>Ermias</t>
        </is>
      </c>
    </row>
    <row r="56">
      <c r="B56" s="13" t="inlineStr">
        <is>
          <t>CS-50</t>
        </is>
      </c>
      <c r="C56" s="14" t="inlineStr">
        <is>
          <t>CS-50.wav</t>
        </is>
      </c>
      <c r="D56" s="13" t="inlineStr">
        <is>
          <t>Speaker-04</t>
        </is>
      </c>
      <c r="E56" s="13" t="inlineStr">
        <is>
          <t>Pediatric ENT</t>
        </is>
      </c>
      <c r="F56" s="12" t="inlineStr">
        <is>
          <t>Amharic-English</t>
        </is>
      </c>
      <c r="H56" s="13" t="inlineStr">
        <is>
          <t>የቀኝ earache እና otorrhea ባለበት ህፃን ላይ Amoxicillin-Clavulanate suspension 400mg PO BID ለ 10 ቀናት እናዘዛለን።</t>
        </is>
      </c>
      <c r="I56" s="13" t="inlineStr">
        <is>
          <t>Otitis media, Otorrhea, Antibiotics</t>
        </is>
      </c>
      <c r="K56" s="15" t="inlineStr">
        <is>
          <t>verified</t>
        </is>
      </c>
      <c r="L56" t="inlineStr"/>
      <c r="M56" t="inlineStr"/>
      <c r="N56" t="inlineStr">
        <is>
          <t>manual_review</t>
        </is>
      </c>
      <c r="O56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56" t="inlineStr">
        <is>
          <t>v1.0</t>
        </is>
      </c>
      <c r="Q56" t="inlineStr">
        <is>
          <t>Ermias</t>
        </is>
      </c>
    </row>
    <row r="57">
      <c r="B57" s="13" t="inlineStr">
        <is>
          <t>CS-51</t>
        </is>
      </c>
      <c r="C57" s="14" t="inlineStr">
        <is>
          <t>CS-51.wav</t>
        </is>
      </c>
      <c r="D57" s="13" t="inlineStr">
        <is>
          <t>Speaker-04</t>
        </is>
      </c>
      <c r="E57" s="13" t="inlineStr">
        <is>
          <t>Nephrology</t>
        </is>
      </c>
      <c r="F57" s="12" t="inlineStr">
        <is>
          <t>Amharic-English</t>
        </is>
      </c>
      <c r="H57" s="13" t="inlineStr">
        <is>
          <t>የታካሚው serum creatinine እና BUN እያደጉ ስለመጡ፣ estimated GFR calculate አድርገን nephrology consultation እንጠይቃለን።</t>
        </is>
      </c>
      <c r="I57" s="13" t="inlineStr">
        <is>
          <t>Elevated creatinine, BUN, GFR</t>
        </is>
      </c>
      <c r="K57" s="15" t="inlineStr">
        <is>
          <t>verified</t>
        </is>
      </c>
      <c r="L57" t="inlineStr"/>
      <c r="M57" t="inlineStr"/>
      <c r="N57" t="inlineStr">
        <is>
          <t>manual_review</t>
        </is>
      </c>
      <c r="O57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57" t="inlineStr">
        <is>
          <t>v1.0</t>
        </is>
      </c>
      <c r="Q57" t="inlineStr">
        <is>
          <t>Ermias</t>
        </is>
      </c>
    </row>
    <row r="58">
      <c r="B58" s="13" t="inlineStr">
        <is>
          <t>CS-52</t>
        </is>
      </c>
      <c r="C58" s="14" t="inlineStr">
        <is>
          <t>CS-52.wav</t>
        </is>
      </c>
      <c r="D58" s="13" t="inlineStr">
        <is>
          <t>Speaker-04</t>
        </is>
      </c>
      <c r="E58" s="13" t="inlineStr">
        <is>
          <t>Oncology / Gastroenterology</t>
        </is>
      </c>
      <c r="F58" s="12" t="inlineStr">
        <is>
          <t>Amharic-English</t>
        </is>
      </c>
      <c r="H58" s="13" t="inlineStr">
        <is>
          <t>ከሁለተኛው ዙር chemotherapy በኋላ severe nausea እና vomiting ስላለው፣ Ondansetron 8mg IV slow push እንሰጣለን፡፡</t>
        </is>
      </c>
      <c r="I58" s="13" t="inlineStr">
        <is>
          <t>Chemotherapy-induced nausea, Ondansetron</t>
        </is>
      </c>
      <c r="K58" s="15" t="inlineStr">
        <is>
          <t>verified</t>
        </is>
      </c>
      <c r="L58" t="inlineStr"/>
      <c r="M58" t="inlineStr"/>
      <c r="N58" t="inlineStr">
        <is>
          <t>manual_review</t>
        </is>
      </c>
      <c r="O58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58" t="inlineStr">
        <is>
          <t>v1.0</t>
        </is>
      </c>
      <c r="Q58" t="inlineStr">
        <is>
          <t>Ermias</t>
        </is>
      </c>
    </row>
    <row r="59">
      <c r="B59" s="13" t="inlineStr">
        <is>
          <t>CS-53</t>
        </is>
      </c>
      <c r="C59" s="14" t="inlineStr">
        <is>
          <t>CS-53.wav</t>
        </is>
      </c>
      <c r="D59" s="13" t="inlineStr">
        <is>
          <t>Speaker-04</t>
        </is>
      </c>
      <c r="E59" s="13" t="inlineStr">
        <is>
          <t>Geriatrics / Orthopedics</t>
        </is>
      </c>
      <c r="F59" s="12" t="inlineStr">
        <is>
          <t>Amharic-English</t>
        </is>
      </c>
      <c r="H59" s="13" t="inlineStr">
        <is>
          <t>የ 78 ዓመት አዛውንት በቤት ውስጥ ስለወደቁ፣ hip X-ray order አድርገን neurological status check እንከታተላለን፡፡</t>
        </is>
      </c>
      <c r="I59" s="13" t="inlineStr">
        <is>
          <t>Geriatric fall, Hip X-ray</t>
        </is>
      </c>
      <c r="K59" s="15" t="inlineStr">
        <is>
          <t>verified</t>
        </is>
      </c>
      <c r="L59" t="inlineStr"/>
      <c r="M59" t="inlineStr"/>
      <c r="N59" t="inlineStr">
        <is>
          <t>manual_review</t>
        </is>
      </c>
      <c r="O59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59" t="inlineStr">
        <is>
          <t>v1.0</t>
        </is>
      </c>
      <c r="Q59" t="inlineStr">
        <is>
          <t>Ermias</t>
        </is>
      </c>
    </row>
    <row r="60">
      <c r="B60" s="13" t="inlineStr">
        <is>
          <t>CS-54</t>
        </is>
      </c>
      <c r="C60" s="14" t="inlineStr">
        <is>
          <t>CS-54.wav</t>
        </is>
      </c>
      <c r="D60" s="13" t="inlineStr">
        <is>
          <t>Speaker-04</t>
        </is>
      </c>
      <c r="E60" s="13" t="inlineStr">
        <is>
          <t>General Surgery / Infectious Disease</t>
        </is>
      </c>
      <c r="F60" s="12" t="inlineStr">
        <is>
          <t>Amharic-English</t>
        </is>
      </c>
      <c r="H60" s="13" t="inlineStr">
        <is>
          <t>ከቀዶ ጥገናው በኋላ በቁስሉ አካባቢ redness</t>
        </is>
      </c>
      <c r="I60" s="13" t="inlineStr">
        <is>
          <t>Surgical site infection, Wound swab</t>
        </is>
      </c>
      <c r="K60" s="15" t="inlineStr">
        <is>
          <t>verified</t>
        </is>
      </c>
      <c r="L60" t="inlineStr"/>
      <c r="M60" t="inlineStr"/>
      <c r="N60" t="inlineStr">
        <is>
          <t>manual_review</t>
        </is>
      </c>
      <c r="O60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60" t="inlineStr">
        <is>
          <t>v1.0</t>
        </is>
      </c>
      <c r="Q60" t="inlineStr">
        <is>
          <t>Ermias</t>
        </is>
      </c>
    </row>
    <row r="61">
      <c r="B61" s="13" t="inlineStr">
        <is>
          <t>CS-55</t>
        </is>
      </c>
      <c r="C61" s="14" t="inlineStr">
        <is>
          <t>CS-55.wav</t>
        </is>
      </c>
      <c r="D61" s="13" t="inlineStr">
        <is>
          <t>Speaker-04</t>
        </is>
      </c>
      <c r="E61" s="13" t="inlineStr">
        <is>
          <t>Pulmonology / Emergency</t>
        </is>
      </c>
      <c r="F61" s="12" t="inlineStr">
        <is>
          <t>Amharic-English</t>
        </is>
      </c>
      <c r="H61" s="13" t="inlineStr">
        <is>
          <t>Acute bronchospasm እና severe wheezing ስላለው Salbutamol nebulization ከ Ipratropium bromide ጋር በአስቸኳይ እንጀምራለን።</t>
        </is>
      </c>
      <c r="I61" s="13" t="inlineStr">
        <is>
          <t>Bronchospasm, Wheezing, Nebulization</t>
        </is>
      </c>
      <c r="K61" s="15" t="inlineStr">
        <is>
          <t>verified</t>
        </is>
      </c>
      <c r="L61" t="inlineStr"/>
      <c r="M61" t="inlineStr"/>
      <c r="N61" t="inlineStr">
        <is>
          <t>manual_review</t>
        </is>
      </c>
      <c r="O61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61" t="inlineStr">
        <is>
          <t>v1.0</t>
        </is>
      </c>
      <c r="Q61" t="inlineStr">
        <is>
          <t>Ermias</t>
        </is>
      </c>
    </row>
    <row r="62">
      <c r="B62" s="13" t="inlineStr">
        <is>
          <t>CS-56</t>
        </is>
      </c>
      <c r="C62" s="14" t="inlineStr">
        <is>
          <t>CS-56.wav</t>
        </is>
      </c>
      <c r="D62" s="13" t="inlineStr">
        <is>
          <t>Speaker-04</t>
        </is>
      </c>
      <c r="E62" s="13" t="inlineStr">
        <is>
          <t>Cardiology</t>
        </is>
      </c>
      <c r="F62" s="12" t="inlineStr">
        <is>
          <t>Amharic-English</t>
        </is>
      </c>
      <c r="H62" s="13" t="inlineStr">
        <is>
          <t>Irregular pulse እና irregularly irregular rhythm ECG ላይ ስለታየ Metoprolol 50mg PO BID ለ rate control እንጀምራለን።</t>
        </is>
      </c>
      <c r="I62" s="13" t="inlineStr">
        <is>
          <t>Atrial fibrillation, Metoprolol</t>
        </is>
      </c>
      <c r="K62" s="15" t="inlineStr">
        <is>
          <t>verified</t>
        </is>
      </c>
      <c r="L62" t="inlineStr"/>
      <c r="M62" t="inlineStr"/>
      <c r="N62" t="inlineStr">
        <is>
          <t>manual_review</t>
        </is>
      </c>
      <c r="O62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62" t="inlineStr">
        <is>
          <t>v1.0</t>
        </is>
      </c>
      <c r="Q62" t="inlineStr">
        <is>
          <t>Ermias</t>
        </is>
      </c>
    </row>
    <row r="63">
      <c r="B63" s="13" t="inlineStr">
        <is>
          <t>CS-57</t>
        </is>
      </c>
      <c r="C63" s="14" t="inlineStr">
        <is>
          <t>CS-57.wav</t>
        </is>
      </c>
      <c r="D63" s="13" t="inlineStr">
        <is>
          <t>Speaker-04</t>
        </is>
      </c>
      <c r="E63" s="13" t="inlineStr">
        <is>
          <t>Neurology</t>
        </is>
      </c>
      <c r="F63" s="12" t="inlineStr">
        <is>
          <t>Amharic-English</t>
        </is>
      </c>
      <c r="H63" s="13" t="inlineStr">
        <is>
          <t>Unilateral throbbing headache ከ nausea እና photophobia ጋር ስላለው Sumatriptan 50mg PO as needed for acute attack እናዘዝ።</t>
        </is>
      </c>
      <c r="I63" s="13" t="inlineStr">
        <is>
          <t>Migraine, Sumatriptan</t>
        </is>
      </c>
      <c r="K63" s="15" t="inlineStr">
        <is>
          <t>verified</t>
        </is>
      </c>
      <c r="L63" t="inlineStr"/>
      <c r="M63" t="inlineStr"/>
      <c r="N63" t="inlineStr">
        <is>
          <t>manual_review</t>
        </is>
      </c>
      <c r="O63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63" t="inlineStr">
        <is>
          <t>v1.0</t>
        </is>
      </c>
      <c r="Q63" t="inlineStr">
        <is>
          <t>Ermias</t>
        </is>
      </c>
    </row>
    <row r="64">
      <c r="B64" s="13" t="inlineStr">
        <is>
          <t>CS-58</t>
        </is>
      </c>
      <c r="C64" s="14" t="inlineStr">
        <is>
          <t>CS-58.wav</t>
        </is>
      </c>
      <c r="D64" s="13" t="inlineStr">
        <is>
          <t>Speaker-04</t>
        </is>
      </c>
      <c r="E64" s="13" t="inlineStr">
        <is>
          <t>Endocrinology</t>
        </is>
      </c>
      <c r="F64" s="12" t="inlineStr">
        <is>
          <t>Amharic-English</t>
        </is>
      </c>
      <c r="H64" s="13" t="inlineStr">
        <is>
          <t>የክብደት መጨመር፣ cold intolerance እና dry skin ስላለው፣ Levothyroxine dosage adjust ለማድረግ TSH እና free T4 እናዘዝ።</t>
        </is>
      </c>
      <c r="I64" s="13" t="inlineStr">
        <is>
          <t>Hypothyroidism, Levothyroxine, TSH</t>
        </is>
      </c>
      <c r="K64" s="15" t="inlineStr">
        <is>
          <t>verified</t>
        </is>
      </c>
      <c r="L64" t="inlineStr"/>
      <c r="M64" t="inlineStr"/>
      <c r="N64" t="inlineStr">
        <is>
          <t>manual_review</t>
        </is>
      </c>
      <c r="O64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64" t="inlineStr">
        <is>
          <t>v1.0</t>
        </is>
      </c>
      <c r="Q64" t="inlineStr">
        <is>
          <t>Ermias</t>
        </is>
      </c>
    </row>
    <row r="65">
      <c r="B65" s="13" t="inlineStr">
        <is>
          <t>CS-59</t>
        </is>
      </c>
      <c r="C65" s="14" t="inlineStr">
        <is>
          <t>CS-59.wav</t>
        </is>
      </c>
      <c r="D65" s="13" t="inlineStr">
        <is>
          <t>Speaker-04</t>
        </is>
      </c>
      <c r="E65" s="13" t="inlineStr">
        <is>
          <t>Critical Care / Infectious Disease</t>
        </is>
      </c>
      <c r="F65" s="12" t="inlineStr">
        <is>
          <t>Amharic-English</t>
        </is>
      </c>
      <c r="H65" s="13" t="inlineStr">
        <is>
          <t>Hypotension እና tachycardia ስላለው immediate blood cultures ተቀብጠን IV broad-spectrum antibiotics እና 30ml/kg fluid bolus እንጀምራለን።</t>
        </is>
      </c>
      <c r="I65" s="13" t="inlineStr">
        <is>
          <t>Sepsis, Hypotension, Fluid bolus</t>
        </is>
      </c>
      <c r="K65" s="15" t="inlineStr">
        <is>
          <t>verified</t>
        </is>
      </c>
      <c r="L65" t="inlineStr"/>
      <c r="M65" t="inlineStr"/>
      <c r="N65" t="inlineStr">
        <is>
          <t>manual_review</t>
        </is>
      </c>
      <c r="O65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65" t="inlineStr">
        <is>
          <t>v1.0</t>
        </is>
      </c>
      <c r="Q65" t="inlineStr">
        <is>
          <t>Ermias</t>
        </is>
      </c>
    </row>
    <row r="66">
      <c r="B66" s="13" t="inlineStr">
        <is>
          <t>CS-60</t>
        </is>
      </c>
      <c r="C66" s="14" t="inlineStr">
        <is>
          <t>CS-60.wav</t>
        </is>
      </c>
      <c r="D66" s="13" t="inlineStr">
        <is>
          <t>Speaker-04</t>
        </is>
      </c>
      <c r="E66" s="13" t="inlineStr">
        <is>
          <t>Trauma / Critical Care</t>
        </is>
      </c>
      <c r="F66" s="12" t="inlineStr">
        <is>
          <t>Amharic-English</t>
        </is>
      </c>
      <c r="H66" s="13" t="inlineStr">
        <is>
          <t>Total body surface area second-degree burn injury ስላለው Parkland formula በመጠቀም IV Ringer's Lactate resuscitation እና calculated analgesia እንጀምራለን።</t>
        </is>
      </c>
      <c r="I66" s="13" t="inlineStr">
        <is>
          <t>Burn injury, Parkland formula, Resuscitation</t>
        </is>
      </c>
      <c r="K66" s="15" t="inlineStr">
        <is>
          <t>verified</t>
        </is>
      </c>
      <c r="L66" t="inlineStr"/>
      <c r="M66" t="inlineStr"/>
      <c r="N66" t="inlineStr">
        <is>
          <t>manual_review</t>
        </is>
      </c>
      <c r="O66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66" t="inlineStr">
        <is>
          <t>v1.0</t>
        </is>
      </c>
      <c r="Q66" t="inlineStr">
        <is>
          <t>Ermias</t>
        </is>
      </c>
    </row>
    <row r="67">
      <c r="B67" s="13" t="inlineStr">
        <is>
          <t>CS-61</t>
        </is>
      </c>
      <c r="C67" s="14" t="inlineStr">
        <is>
          <t>CS-61.wav</t>
        </is>
      </c>
      <c r="D67" s="13" t="inlineStr">
        <is>
          <t>Speaker-02</t>
        </is>
      </c>
      <c r="E67" s="13" t="inlineStr">
        <is>
          <t>Tropical Medicine / Infectious Disease</t>
        </is>
      </c>
      <c r="F67" s="12" t="inlineStr">
        <is>
          <t>Amharic-English</t>
        </is>
      </c>
      <c r="H67" s="13" t="inlineStr">
        <is>
          <t>ታካሚው ለ 7 ቀናት የሚቆይ high fever</t>
        </is>
      </c>
      <c r="I67" s="13" t="inlineStr">
        <is>
          <t>Dengue fever, Arthralgia, Retro-orbital pain</t>
        </is>
      </c>
      <c r="K67" s="15" t="inlineStr">
        <is>
          <t>verified</t>
        </is>
      </c>
      <c r="L67" t="inlineStr"/>
      <c r="M67" t="inlineStr"/>
      <c r="N67" t="inlineStr">
        <is>
          <t>manual_review</t>
        </is>
      </c>
      <c r="O67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67" t="inlineStr">
        <is>
          <t>v1.0</t>
        </is>
      </c>
      <c r="Q67" t="inlineStr">
        <is>
          <t>Ermias</t>
        </is>
      </c>
    </row>
    <row r="68">
      <c r="B68" s="13" t="inlineStr">
        <is>
          <t>CS-62</t>
        </is>
      </c>
      <c r="C68" s="14" t="inlineStr">
        <is>
          <t>CS-62.wav</t>
        </is>
      </c>
      <c r="D68" s="13" t="inlineStr">
        <is>
          <t>Speaker-02</t>
        </is>
      </c>
      <c r="E68" s="13" t="inlineStr">
        <is>
          <t>Rheumatology / Infectious Disease</t>
        </is>
      </c>
      <c r="F68" s="12" t="inlineStr">
        <is>
          <t>Amharic-English</t>
        </is>
      </c>
      <c r="H68" s="13" t="inlineStr">
        <is>
          <t>በግራ ጉልበቱ ላይ acute swelling</t>
        </is>
      </c>
      <c r="I68" s="13" t="inlineStr">
        <is>
          <t>Septic arthritis, Joint aspiration</t>
        </is>
      </c>
      <c r="K68" s="15" t="inlineStr">
        <is>
          <t>verified</t>
        </is>
      </c>
      <c r="L68" t="inlineStr"/>
      <c r="M68" t="inlineStr"/>
      <c r="N68" t="inlineStr">
        <is>
          <t>manual_review</t>
        </is>
      </c>
      <c r="O68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68" t="inlineStr">
        <is>
          <t>v1.0</t>
        </is>
      </c>
      <c r="Q68" t="inlineStr">
        <is>
          <t>Ermias</t>
        </is>
      </c>
    </row>
    <row r="69">
      <c r="B69" s="13" t="inlineStr">
        <is>
          <t>CS-63</t>
        </is>
      </c>
      <c r="C69" s="14" t="inlineStr">
        <is>
          <t>CS-63.wav</t>
        </is>
      </c>
      <c r="D69" s="13" t="inlineStr">
        <is>
          <t>Speaker-02</t>
        </is>
      </c>
      <c r="E69" s="13" t="inlineStr">
        <is>
          <t>Dermatology / Tropical Medicine</t>
        </is>
      </c>
      <c r="F69" s="12" t="inlineStr">
        <is>
          <t>Amharic-English</t>
        </is>
      </c>
      <c r="H69" s="13" t="inlineStr">
        <is>
          <t>የተቃጠለ ወይም የደነዘዘ የቆዳ ቁስል (hypopigmented patch with sensory loss) ስላለው፣ leprosy (Hansen's disease) suspect አድርገን skin slit smear እንልካለን።</t>
        </is>
      </c>
      <c r="I69" s="13" t="inlineStr">
        <is>
          <t>Leprosy, Skin slit smear</t>
        </is>
      </c>
      <c r="K69" s="15" t="inlineStr">
        <is>
          <t>verified</t>
        </is>
      </c>
      <c r="L69" t="inlineStr"/>
      <c r="M69" t="inlineStr"/>
      <c r="N69" t="inlineStr">
        <is>
          <t>manual_review</t>
        </is>
      </c>
      <c r="O69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69" t="inlineStr">
        <is>
          <t>v1.0</t>
        </is>
      </c>
      <c r="Q69" t="inlineStr">
        <is>
          <t>Ermias</t>
        </is>
      </c>
    </row>
    <row r="70">
      <c r="B70" s="13" t="inlineStr">
        <is>
          <t>CS-64</t>
        </is>
      </c>
      <c r="C70" s="14" t="inlineStr">
        <is>
          <t>CS-64.wav</t>
        </is>
      </c>
      <c r="D70" s="13" t="inlineStr">
        <is>
          <t>Speaker-02</t>
        </is>
      </c>
      <c r="E70" s="13" t="inlineStr">
        <is>
          <t>Pulmonology</t>
        </is>
      </c>
      <c r="F70" s="12" t="inlineStr">
        <is>
          <t>Amharic-English</t>
        </is>
      </c>
      <c r="H70" s="13" t="inlineStr">
        <is>
          <t>ለወራት የቆየ dry cough እና progressive shortness of breath በ exertion ስላለው፣ high-resolution computed tomography (HRCT) chest እና pulmonary function test order እናድርግ።</t>
        </is>
      </c>
      <c r="I70" s="13" t="inlineStr">
        <is>
          <t>HRCT chest, Dyspnea on exertion</t>
        </is>
      </c>
      <c r="K70" s="15" t="inlineStr">
        <is>
          <t>verified</t>
        </is>
      </c>
      <c r="L70" t="inlineStr"/>
      <c r="M70" t="inlineStr"/>
      <c r="N70" t="inlineStr">
        <is>
          <t>manual_review</t>
        </is>
      </c>
      <c r="O70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0" t="inlineStr">
        <is>
          <t>v1.0</t>
        </is>
      </c>
      <c r="Q70" t="inlineStr">
        <is>
          <t>Ermias</t>
        </is>
      </c>
    </row>
    <row r="71">
      <c r="B71" s="13" t="inlineStr">
        <is>
          <t>CS-65</t>
        </is>
      </c>
      <c r="C71" s="14" t="inlineStr">
        <is>
          <t>CS-65.wav</t>
        </is>
      </c>
      <c r="D71" s="13" t="inlineStr">
        <is>
          <t>Speaker-02</t>
        </is>
      </c>
      <c r="E71" s="13" t="inlineStr">
        <is>
          <t>Rheumatology</t>
        </is>
      </c>
      <c r="F71" s="12" t="inlineStr">
        <is>
          <t>Amharic-English</t>
        </is>
      </c>
      <c r="H71" s="13" t="inlineStr">
        <is>
          <t>የመገጣጠሚያ ህመም በተለይ በ (morning stiffness) ከ 1 ሰዓት በላይ የሚቆይባቸው አዛውንት ስለሆኑ፣ Rheumatoid factor እና Anti-CCP test እናዘዝ።</t>
        </is>
      </c>
      <c r="I71" s="13" t="inlineStr">
        <is>
          <t>Morning stiffness, Rheumatoid arthritis</t>
        </is>
      </c>
      <c r="K71" s="15" t="inlineStr">
        <is>
          <t>verified</t>
        </is>
      </c>
      <c r="L71" t="inlineStr"/>
      <c r="M71" t="inlineStr"/>
      <c r="N71" t="inlineStr">
        <is>
          <t>manual_review</t>
        </is>
      </c>
      <c r="O71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1" t="inlineStr">
        <is>
          <t>v1.0</t>
        </is>
      </c>
      <c r="Q71" t="inlineStr">
        <is>
          <t>Ermias</t>
        </is>
      </c>
    </row>
    <row r="72">
      <c r="B72" s="13" t="inlineStr">
        <is>
          <t>CS-66</t>
        </is>
      </c>
      <c r="C72" s="14" t="inlineStr">
        <is>
          <t>CS-66.wav</t>
        </is>
      </c>
      <c r="D72" s="13" t="inlineStr">
        <is>
          <t>Speaker-02</t>
        </is>
      </c>
      <c r="E72" s="13" t="inlineStr">
        <is>
          <t>Orthopedics / Infectious Disease</t>
        </is>
      </c>
      <c r="F72" s="12" t="inlineStr">
        <is>
          <t>Amharic-English</t>
        </is>
      </c>
      <c r="H72" s="13" t="inlineStr">
        <is>
          <t>በግራ እግሩ tibia/fibula አካባቢ chronic bone infection (osteomyelitis) ስላለበት፣ deep bone biopsy for culture and sensitivity order እናድርግ።</t>
        </is>
      </c>
      <c r="I72" s="13" t="inlineStr">
        <is>
          <t>Osteomyelitis, Bone biopsy</t>
        </is>
      </c>
      <c r="K72" s="15" t="inlineStr">
        <is>
          <t>verified</t>
        </is>
      </c>
      <c r="L72" t="inlineStr"/>
      <c r="M72" t="inlineStr"/>
      <c r="N72" t="inlineStr">
        <is>
          <t>manual_review</t>
        </is>
      </c>
      <c r="O72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2" t="inlineStr">
        <is>
          <t>v1.0</t>
        </is>
      </c>
      <c r="Q72" t="inlineStr">
        <is>
          <t>Ermias</t>
        </is>
      </c>
    </row>
    <row r="73">
      <c r="B73" s="13" t="inlineStr">
        <is>
          <t>CS-67</t>
        </is>
      </c>
      <c r="C73" s="14" t="inlineStr">
        <is>
          <t>CS-67.wav</t>
        </is>
      </c>
      <c r="D73" s="13" t="inlineStr">
        <is>
          <t>Speaker-02</t>
        </is>
      </c>
      <c r="E73" s="13" t="inlineStr">
        <is>
          <t>Pharmacology / Neurology</t>
        </is>
      </c>
      <c r="F73" s="12" t="inlineStr">
        <is>
          <t>Amharic-English</t>
        </is>
      </c>
      <c r="H73" s="13" t="inlineStr">
        <is>
          <t>ከባድ የጡንቻ ህመም (myalgia) እና dark-colored urine (myoglobinuria) ከ statin use በኋላ ስላጋጠመው፣ immediate serum creatine kinase (CK) level check እናድርግ።</t>
        </is>
      </c>
      <c r="I73" s="13" t="inlineStr">
        <is>
          <t>Statin-induced myopathy, CK levels</t>
        </is>
      </c>
      <c r="K73" s="15" t="inlineStr">
        <is>
          <t>verified</t>
        </is>
      </c>
      <c r="L73" t="inlineStr"/>
      <c r="M73" t="inlineStr"/>
      <c r="N73" t="inlineStr">
        <is>
          <t>manual_review</t>
        </is>
      </c>
      <c r="O73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3" t="inlineStr">
        <is>
          <t>v1.0</t>
        </is>
      </c>
      <c r="Q73" t="inlineStr">
        <is>
          <t>Ermias</t>
        </is>
      </c>
    </row>
    <row r="74">
      <c r="B74" s="13" t="inlineStr">
        <is>
          <t>CS-68</t>
        </is>
      </c>
      <c r="C74" s="14" t="inlineStr">
        <is>
          <t>CS-68.wav</t>
        </is>
      </c>
      <c r="D74" s="13" t="inlineStr">
        <is>
          <t>Speaker-02</t>
        </is>
      </c>
      <c r="E74" s="13" t="inlineStr">
        <is>
          <t>Dermatology / Infectious Disease</t>
        </is>
      </c>
      <c r="F74" s="12" t="inlineStr">
        <is>
          <t>Amharic-English</t>
        </is>
      </c>
      <c r="H74" s="13" t="inlineStr">
        <is>
          <t>በግራ flank region ላይ የሚወጣ painful vesicular rash በጥንታዊ zoster (Herpes Zoster) መልክ ስላለው፣ Acyclovir 800mg 5 times daily ጀምርለት።</t>
        </is>
      </c>
      <c r="I74" s="13" t="inlineStr">
        <is>
          <t>Herpes Zoster, Acyclovir</t>
        </is>
      </c>
      <c r="K74" s="15" t="inlineStr">
        <is>
          <t>verified</t>
        </is>
      </c>
      <c r="L74" t="inlineStr"/>
      <c r="M74" t="inlineStr"/>
      <c r="N74" t="inlineStr">
        <is>
          <t>manual_review</t>
        </is>
      </c>
      <c r="O74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4" t="inlineStr">
        <is>
          <t>v1.0</t>
        </is>
      </c>
      <c r="Q74" t="inlineStr">
        <is>
          <t>Ermias</t>
        </is>
      </c>
    </row>
    <row r="75">
      <c r="B75" s="13" t="inlineStr">
        <is>
          <t>CS-69</t>
        </is>
      </c>
      <c r="C75" s="14" t="inlineStr">
        <is>
          <t>CS-69.wav</t>
        </is>
      </c>
      <c r="D75" s="13" t="inlineStr">
        <is>
          <t>Speaker-02</t>
        </is>
      </c>
      <c r="E75" s="13" t="inlineStr">
        <is>
          <t>Hematology</t>
        </is>
      </c>
      <c r="F75" s="12" t="inlineStr">
        <is>
          <t>Amharic-English</t>
        </is>
      </c>
      <c r="H75" s="13" t="inlineStr">
        <is>
          <t>የታካሚው ፕሌትሌት ቁጥር (platelet count) በጣም ዝቅተኛ ስለሆነ እና spontaneous mucosal bleeding ስላለው፣ immediate hematology consultation እና platelet transfusion order እናድርግ።</t>
        </is>
      </c>
      <c r="I75" s="13" t="inlineStr">
        <is>
          <t>Thrombocytopenia, Bleeding</t>
        </is>
      </c>
      <c r="K75" s="15" t="inlineStr">
        <is>
          <t>verified</t>
        </is>
      </c>
      <c r="L75" t="inlineStr"/>
      <c r="M75" t="inlineStr"/>
      <c r="N75" t="inlineStr">
        <is>
          <t>manual_review</t>
        </is>
      </c>
      <c r="O75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5" t="inlineStr">
        <is>
          <t>v1.0</t>
        </is>
      </c>
      <c r="Q75" t="inlineStr">
        <is>
          <t>Ermias</t>
        </is>
      </c>
    </row>
    <row r="76">
      <c r="B76" s="13" t="inlineStr">
        <is>
          <t>CS-70</t>
        </is>
      </c>
      <c r="C76" s="14" t="inlineStr">
        <is>
          <t>CS-70.wav</t>
        </is>
      </c>
      <c r="D76" s="13" t="inlineStr">
        <is>
          <t>Speaker-02</t>
        </is>
      </c>
      <c r="E76" s="13" t="inlineStr">
        <is>
          <t>ENT / Infectious Disease</t>
        </is>
      </c>
      <c r="F76" s="12" t="inlineStr">
        <is>
          <t>Amharic-English</t>
        </is>
      </c>
      <c r="H76" s="13" t="inlineStr">
        <is>
          <t>ከባድ የጉሮሮ ህመም (severe pharyngitis) ከ exudates ጋር እና cervical lymphadenopathy ስላለው፣ throat swab for rapid strep test እንወስዳለን።</t>
        </is>
      </c>
      <c r="I76" s="13" t="inlineStr">
        <is>
          <t>Pharyngitis, Strep test</t>
        </is>
      </c>
      <c r="K76" s="15" t="inlineStr">
        <is>
          <t>verified</t>
        </is>
      </c>
      <c r="L76" t="inlineStr"/>
      <c r="M76" t="inlineStr"/>
      <c r="N76" t="inlineStr">
        <is>
          <t>manual_review</t>
        </is>
      </c>
      <c r="O76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6" t="inlineStr">
        <is>
          <t>v1.0</t>
        </is>
      </c>
      <c r="Q76" t="inlineStr">
        <is>
          <t>Ermias</t>
        </is>
      </c>
    </row>
    <row r="77">
      <c r="B77" s="13" t="inlineStr">
        <is>
          <t>CS-71</t>
        </is>
      </c>
      <c r="C77" s="14" t="inlineStr">
        <is>
          <t>CS-71.wav</t>
        </is>
      </c>
      <c r="D77" s="13" t="inlineStr">
        <is>
          <t>Speaker-02</t>
        </is>
      </c>
      <c r="E77" s="13" t="inlineStr">
        <is>
          <t>Gastroenterology / Surgery</t>
        </is>
      </c>
      <c r="F77" s="12" t="inlineStr">
        <is>
          <t>Amharic-English</t>
        </is>
      </c>
      <c r="H77" s="13" t="inlineStr">
        <is>
          <t>በቀኝ upper quadrant abdominal pain ከ fever እና jaundice ጋር (Charcot's triad) ስላለው፣ acute cholangitis suspect አድርገን abdominal ultrasound እና IV antibiotics እንጀምራለን።</t>
        </is>
      </c>
      <c r="I77" s="13" t="inlineStr">
        <is>
          <t>Cholangitis, Charcot's triad</t>
        </is>
      </c>
      <c r="K77" s="15" t="inlineStr">
        <is>
          <t>verified</t>
        </is>
      </c>
      <c r="L77" t="inlineStr"/>
      <c r="M77" t="inlineStr"/>
      <c r="N77" t="inlineStr">
        <is>
          <t>manual_review</t>
        </is>
      </c>
      <c r="O77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7" t="inlineStr">
        <is>
          <t>v1.0</t>
        </is>
      </c>
      <c r="Q77" t="inlineStr">
        <is>
          <t>Ermias</t>
        </is>
      </c>
    </row>
    <row r="78">
      <c r="B78" s="13" t="inlineStr">
        <is>
          <t>CS-72</t>
        </is>
      </c>
      <c r="C78" s="14" t="inlineStr">
        <is>
          <t>CS-72.wav</t>
        </is>
      </c>
      <c r="D78" s="13" t="inlineStr">
        <is>
          <t>Speaker-02</t>
        </is>
      </c>
      <c r="E78" s="13" t="inlineStr">
        <is>
          <t>Pulmonology</t>
        </is>
      </c>
      <c r="F78" s="12" t="inlineStr">
        <is>
          <t>Amharic-English</t>
        </is>
      </c>
      <c r="H78" s="13" t="inlineStr">
        <is>
          <t>የመተንፈሻ አካል ችግር እና acute exacerbation of COPD ስላለው፣ Duolin (Salbutamol + Ipratropium) nebulization እና systemic corticosteroids 40mg PO ጀምር።</t>
        </is>
      </c>
      <c r="I78" s="13" t="inlineStr">
        <is>
          <t>COPD exacerbation, Duolin</t>
        </is>
      </c>
      <c r="K78" s="15" t="inlineStr">
        <is>
          <t>verified</t>
        </is>
      </c>
      <c r="L78" t="inlineStr"/>
      <c r="M78" t="inlineStr"/>
      <c r="N78" t="inlineStr">
        <is>
          <t>manual_review</t>
        </is>
      </c>
      <c r="O78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8" t="inlineStr">
        <is>
          <t>v1.0</t>
        </is>
      </c>
      <c r="Q78" t="inlineStr">
        <is>
          <t>Ermias</t>
        </is>
      </c>
    </row>
    <row r="79">
      <c r="B79" s="13" t="inlineStr">
        <is>
          <t>CS-73</t>
        </is>
      </c>
      <c r="C79" s="14" t="inlineStr">
        <is>
          <t>CS-73.wav</t>
        </is>
      </c>
      <c r="D79" s="13" t="inlineStr">
        <is>
          <t>Speaker-02</t>
        </is>
      </c>
      <c r="E79" s="13" t="inlineStr">
        <is>
          <t>Dermatology / Wound Care</t>
        </is>
      </c>
      <c r="F79" s="12" t="inlineStr">
        <is>
          <t>Amharic-English</t>
        </is>
      </c>
      <c r="H79" s="13" t="inlineStr">
        <is>
          <t>ለረጅም ጊዜ በ bedridden ሁኔታ የቆየ ታካሚ ስለሆነ፣ sacral pressure ulcer stage III ስላለበት wound debridement እና daily dressing change order እናድርግ።</t>
        </is>
      </c>
      <c r="I79" s="13" t="inlineStr">
        <is>
          <t>Pressure ulcer, Debridement</t>
        </is>
      </c>
      <c r="K79" s="15" t="inlineStr">
        <is>
          <t>verified</t>
        </is>
      </c>
      <c r="L79" t="inlineStr"/>
      <c r="M79" t="inlineStr"/>
      <c r="N79" t="inlineStr">
        <is>
          <t>manual_review</t>
        </is>
      </c>
      <c r="O79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79" t="inlineStr">
        <is>
          <t>v1.0</t>
        </is>
      </c>
      <c r="Q79" t="inlineStr">
        <is>
          <t>Ermias</t>
        </is>
      </c>
    </row>
    <row r="80">
      <c r="B80" s="13" t="inlineStr">
        <is>
          <t>CS-74</t>
        </is>
      </c>
      <c r="C80" s="14" t="inlineStr">
        <is>
          <t>CS-74.wav</t>
        </is>
      </c>
      <c r="D80" s="13" t="inlineStr">
        <is>
          <t>Speaker-02</t>
        </is>
      </c>
      <c r="E80" s="13" t="inlineStr">
        <is>
          <t>Vascular Surgery / Emergency</t>
        </is>
      </c>
      <c r="F80" s="12" t="inlineStr">
        <is>
          <t>Amharic-English</t>
        </is>
      </c>
      <c r="H80" s="13" t="inlineStr">
        <is>
          <t>በግራ እጁ ላይ sudden loss of sensation እና pallor ስላለው፣ acute limb ischemia rule out ለማድረግ urgent Doppler ultrasound order እናድርግ።</t>
        </is>
      </c>
      <c r="I80" s="13" t="inlineStr">
        <is>
          <t>Acute limb ischemia, Doppler</t>
        </is>
      </c>
      <c r="K80" s="15" t="inlineStr">
        <is>
          <t>verified</t>
        </is>
      </c>
      <c r="L80" t="inlineStr"/>
      <c r="M80" t="inlineStr"/>
      <c r="N80" t="inlineStr">
        <is>
          <t>manual_review</t>
        </is>
      </c>
      <c r="O80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0" t="inlineStr">
        <is>
          <t>v1.0</t>
        </is>
      </c>
      <c r="Q80" t="inlineStr">
        <is>
          <t>Ermias</t>
        </is>
      </c>
    </row>
    <row r="81">
      <c r="B81" s="13" t="inlineStr">
        <is>
          <t>CS-75</t>
        </is>
      </c>
      <c r="C81" s="14" t="inlineStr">
        <is>
          <t>CS-75.wav</t>
        </is>
      </c>
      <c r="D81" s="13" t="inlineStr">
        <is>
          <t>Speaker-02</t>
        </is>
      </c>
      <c r="E81" s="13" t="inlineStr">
        <is>
          <t>Hematology</t>
        </is>
      </c>
      <c r="F81" s="12" t="inlineStr">
        <is>
          <t>Amharic-English</t>
        </is>
      </c>
      <c r="H81" s="13" t="inlineStr">
        <is>
          <t>ከፍተኛ የደም ማነስ (severe microcytic anemia</t>
        </is>
      </c>
      <c r="I81" s="13" t="inlineStr">
        <is>
          <t>Severe anemia, PRBC transfusion</t>
        </is>
      </c>
      <c r="K81" s="15" t="inlineStr">
        <is>
          <t>verified</t>
        </is>
      </c>
      <c r="L81" t="inlineStr"/>
      <c r="M81" t="inlineStr"/>
      <c r="N81" t="inlineStr">
        <is>
          <t>manual_review</t>
        </is>
      </c>
      <c r="O81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1" t="inlineStr">
        <is>
          <t>v1.0</t>
        </is>
      </c>
      <c r="Q81" t="inlineStr">
        <is>
          <t>Ermias</t>
        </is>
      </c>
    </row>
    <row r="82">
      <c r="B82" s="13" t="inlineStr">
        <is>
          <t>CS-76</t>
        </is>
      </c>
      <c r="C82" s="14" t="inlineStr">
        <is>
          <t>CS-76.wav</t>
        </is>
      </c>
      <c r="D82" s="13" t="inlineStr">
        <is>
          <t>Speaker-02</t>
        </is>
      </c>
      <c r="E82" s="13" t="inlineStr">
        <is>
          <t>Geriatrics / Neurology</t>
        </is>
      </c>
      <c r="F82" s="12" t="inlineStr">
        <is>
          <t>Amharic-English</t>
        </is>
      </c>
      <c r="H82" s="13" t="inlineStr">
        <is>
          <t>በዕድሜ የገፉ አዛውንት ውስጥ sudden confusion እና memory decline (acute delirium) በመታየቱ፣ urinary tract infection እና electrolyte imbalance check ማድረግ አለብን።</t>
        </is>
      </c>
      <c r="I82" s="13" t="inlineStr">
        <is>
          <t>Acute delirium, Electrolyte imbalance</t>
        </is>
      </c>
      <c r="K82" s="15" t="inlineStr">
        <is>
          <t>verified</t>
        </is>
      </c>
      <c r="L82" t="inlineStr"/>
      <c r="M82" t="inlineStr"/>
      <c r="N82" t="inlineStr">
        <is>
          <t>manual_review</t>
        </is>
      </c>
      <c r="O82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2" t="inlineStr">
        <is>
          <t>v1.0</t>
        </is>
      </c>
      <c r="Q82" t="inlineStr">
        <is>
          <t>Ermias</t>
        </is>
      </c>
    </row>
    <row r="83">
      <c r="B83" s="13" t="inlineStr">
        <is>
          <t>CS-77</t>
        </is>
      </c>
      <c r="C83" s="14" t="inlineStr">
        <is>
          <t>CS-77.wav</t>
        </is>
      </c>
      <c r="D83" s="13" t="inlineStr">
        <is>
          <t>Speaker-02</t>
        </is>
      </c>
      <c r="E83" s="13" t="inlineStr">
        <is>
          <t>Neurology / Emergency</t>
        </is>
      </c>
      <c r="F83" s="12" t="inlineStr">
        <is>
          <t>Amharic-English</t>
        </is>
      </c>
      <c r="H83" s="13" t="inlineStr">
        <is>
          <t>በግራ በኩል የሚከሰት facial drop</t>
        </is>
      </c>
      <c r="I83" s="13" t="inlineStr">
        <is>
          <t>Acute stroke, Facial drop</t>
        </is>
      </c>
      <c r="K83" s="15" t="inlineStr">
        <is>
          <t>verified</t>
        </is>
      </c>
      <c r="L83" t="inlineStr"/>
      <c r="M83" t="inlineStr"/>
      <c r="N83" t="inlineStr">
        <is>
          <t>manual_review</t>
        </is>
      </c>
      <c r="O83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3" t="inlineStr">
        <is>
          <t>v1.0</t>
        </is>
      </c>
      <c r="Q83" t="inlineStr">
        <is>
          <t>Ermias</t>
        </is>
      </c>
    </row>
    <row r="84">
      <c r="B84" s="13" t="inlineStr">
        <is>
          <t>CS-78</t>
        </is>
      </c>
      <c r="C84" s="14" t="inlineStr">
        <is>
          <t>CS-78.wav</t>
        </is>
      </c>
      <c r="D84" s="13" t="inlineStr">
        <is>
          <t>Speaker-02</t>
        </is>
      </c>
      <c r="E84" s="13" t="inlineStr">
        <is>
          <t>Nephrology / Critical Care</t>
        </is>
      </c>
      <c r="F84" s="12" t="inlineStr">
        <is>
          <t>Amharic-English</t>
        </is>
      </c>
      <c r="H84" s="13" t="inlineStr">
        <is>
          <t>የታካሚው የሴረም ሶዲይም (serum sodium) መጠን 120 mEq/L ስለሆነ (severe hyponatremia)፣ 3% Normal Saline በቁጥጥር ስር እንሰጣለን።</t>
        </is>
      </c>
      <c r="I84" s="13" t="inlineStr">
        <is>
          <t>Severe hyponatremia, 3% Saline</t>
        </is>
      </c>
      <c r="K84" s="15" t="inlineStr">
        <is>
          <t>verified</t>
        </is>
      </c>
      <c r="L84" t="inlineStr"/>
      <c r="M84" t="inlineStr"/>
      <c r="N84" t="inlineStr">
        <is>
          <t>manual_review</t>
        </is>
      </c>
      <c r="O84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4" t="inlineStr">
        <is>
          <t>v1.0</t>
        </is>
      </c>
      <c r="Q84" t="inlineStr">
        <is>
          <t>Ermias</t>
        </is>
      </c>
    </row>
    <row r="85">
      <c r="B85" s="13" t="inlineStr">
        <is>
          <t>CS-79</t>
        </is>
      </c>
      <c r="C85" s="14" t="inlineStr">
        <is>
          <t>CS-79.wav</t>
        </is>
      </c>
      <c r="D85" s="13" t="inlineStr">
        <is>
          <t>Speaker-02</t>
        </is>
      </c>
      <c r="E85" s="13" t="inlineStr">
        <is>
          <t>General Surgery</t>
        </is>
      </c>
      <c r="F85" s="12" t="inlineStr">
        <is>
          <t>Amharic-English</t>
        </is>
      </c>
      <c r="H85" s="13" t="inlineStr">
        <is>
          <t>በቀኝ lower quadrant የሚሰማ ከባድ ህመም ከ nausea እና low-grade fever ጋር ስላለው፣ Alvarado score calculate አድርገን surgical evaluation እንጠይቃለን።</t>
        </is>
      </c>
      <c r="I85" s="13" t="inlineStr">
        <is>
          <t>Appendicitis, Alvarado score</t>
        </is>
      </c>
      <c r="K85" s="15" t="inlineStr">
        <is>
          <t>verified</t>
        </is>
      </c>
      <c r="L85" t="inlineStr"/>
      <c r="M85" t="inlineStr"/>
      <c r="N85" t="inlineStr">
        <is>
          <t>manual_review</t>
        </is>
      </c>
      <c r="O85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5" t="inlineStr">
        <is>
          <t>v1.0</t>
        </is>
      </c>
      <c r="Q85" t="inlineStr">
        <is>
          <t>Ermias</t>
        </is>
      </c>
    </row>
    <row r="86">
      <c r="B86" s="13" t="inlineStr">
        <is>
          <t>CS-80</t>
        </is>
      </c>
      <c r="C86" s="14" t="inlineStr">
        <is>
          <t>CS-80.wav</t>
        </is>
      </c>
      <c r="D86" s="13" t="inlineStr">
        <is>
          <t>Speaker-02</t>
        </is>
      </c>
      <c r="E86" s="13" t="inlineStr">
        <is>
          <t>Cardiology / Emergency</t>
        </is>
      </c>
      <c r="F86" s="12" t="inlineStr">
        <is>
          <t>Amharic-English</t>
        </is>
      </c>
      <c r="H86" s="13" t="inlineStr">
        <is>
          <t>የታካሚው የደም ግፊት በድንገት 220/120 mmHg ደርሶ encephalopathy ምልክቶች ስላሳየ (hypertensive emergency)፣ IV Labetalol infusion እንጀምራለን።</t>
        </is>
      </c>
      <c r="I86" s="13" t="inlineStr">
        <is>
          <t>Hypertensive emergency, Labetalol</t>
        </is>
      </c>
      <c r="K86" s="15" t="inlineStr">
        <is>
          <t>verified</t>
        </is>
      </c>
      <c r="L86" t="inlineStr"/>
      <c r="M86" t="inlineStr"/>
      <c r="N86" t="inlineStr">
        <is>
          <t>manual_review</t>
        </is>
      </c>
      <c r="O86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6" t="inlineStr">
        <is>
          <t>v1.0</t>
        </is>
      </c>
      <c r="Q86" t="inlineStr">
        <is>
          <t>Ermias</t>
        </is>
      </c>
    </row>
    <row r="87">
      <c r="B87" s="13" t="inlineStr">
        <is>
          <t>CS-81</t>
        </is>
      </c>
      <c r="C87" s="14" t="inlineStr">
        <is>
          <t>CS-81.wav</t>
        </is>
      </c>
      <c r="D87" s="13" t="inlineStr">
        <is>
          <t>Speaker-02</t>
        </is>
      </c>
      <c r="E87" s="13" t="inlineStr">
        <is>
          <t>Gastroenterology / Hepatology</t>
        </is>
      </c>
      <c r="F87" s="12" t="inlineStr">
        <is>
          <t>Amharic-English</t>
        </is>
      </c>
      <c r="H87" s="13" t="inlineStr">
        <is>
          <t>ከፍተኛ የሆነ የጉበት ኢንዛይሞች (ALT/AST elevation) ከ acute viral hepatitis ጋር የተያያዘ ስለሆነ፣ HBsAg እና Anti-HCV screening test order አድርግ።</t>
        </is>
      </c>
      <c r="I87" s="13" t="inlineStr">
        <is>
          <t>Viral hepatitis, Liver enzymes</t>
        </is>
      </c>
      <c r="K87" s="15" t="inlineStr">
        <is>
          <t>verified</t>
        </is>
      </c>
      <c r="L87" t="inlineStr"/>
      <c r="M87" t="inlineStr"/>
      <c r="N87" t="inlineStr">
        <is>
          <t>manual_review</t>
        </is>
      </c>
      <c r="O87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7" t="inlineStr">
        <is>
          <t>v1.0</t>
        </is>
      </c>
      <c r="Q87" t="inlineStr">
        <is>
          <t>Ermias</t>
        </is>
      </c>
    </row>
    <row r="88">
      <c r="B88" s="13" t="inlineStr">
        <is>
          <t>CS-82</t>
        </is>
      </c>
      <c r="C88" s="14" t="inlineStr">
        <is>
          <t>CS-82.wav</t>
        </is>
      </c>
      <c r="D88" s="13" t="inlineStr">
        <is>
          <t>Speaker-02</t>
        </is>
      </c>
      <c r="E88" s="13" t="inlineStr">
        <is>
          <t>ENT / Oral Surgery</t>
        </is>
      </c>
      <c r="F88" s="12" t="inlineStr">
        <is>
          <t>Amharic-English</t>
        </is>
      </c>
      <c r="H88" s="13" t="inlineStr">
        <is>
          <t>በግራ submandibular region ላይ painful swelling እና pus discharge ከ submandibular duct ስላለው፣ clindamycin 300mg PO QID order እንድርግ።</t>
        </is>
      </c>
      <c r="I88" s="13" t="inlineStr">
        <is>
          <t>Submandibular sialadenitis, Clindamycin</t>
        </is>
      </c>
      <c r="K88" s="15" t="inlineStr">
        <is>
          <t>verified</t>
        </is>
      </c>
      <c r="L88" t="inlineStr"/>
      <c r="M88" t="inlineStr"/>
      <c r="N88" t="inlineStr">
        <is>
          <t>manual_review</t>
        </is>
      </c>
      <c r="O88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8" t="inlineStr">
        <is>
          <t>v1.0</t>
        </is>
      </c>
      <c r="Q88" t="inlineStr">
        <is>
          <t>Ermias</t>
        </is>
      </c>
    </row>
    <row r="89">
      <c r="B89" s="13" t="inlineStr">
        <is>
          <t>CS-83</t>
        </is>
      </c>
      <c r="C89" s="14" t="inlineStr">
        <is>
          <t>CS-83.wav</t>
        </is>
      </c>
      <c r="D89" s="13" t="inlineStr">
        <is>
          <t>Speaker-02</t>
        </is>
      </c>
      <c r="E89" s="13" t="inlineStr">
        <is>
          <t>Pediatric Nephrology</t>
        </is>
      </c>
      <c r="F89" s="12" t="inlineStr">
        <is>
          <t>Amharic-English</t>
        </is>
      </c>
      <c r="H89" s="13" t="inlineStr">
        <is>
          <t>ለከፍተኛ እብጠት (generalized edema) እና nephrotic range proteinuria የተጋለጠ ሕፃን ስለሆነ፣ 24-hour urine protein collection እና serum albumin level check እናድርግ።</t>
        </is>
      </c>
      <c r="I89" s="13" t="inlineStr">
        <is>
          <t>Nephrotic syndrome, Proteinuria</t>
        </is>
      </c>
      <c r="K89" s="15" t="inlineStr">
        <is>
          <t>verified</t>
        </is>
      </c>
      <c r="L89" t="inlineStr"/>
      <c r="M89" t="inlineStr"/>
      <c r="N89" t="inlineStr">
        <is>
          <t>manual_review</t>
        </is>
      </c>
      <c r="O89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89" t="inlineStr">
        <is>
          <t>v1.0</t>
        </is>
      </c>
      <c r="Q89" t="inlineStr">
        <is>
          <t>Ermias</t>
        </is>
      </c>
    </row>
    <row r="90">
      <c r="B90" s="13" t="inlineStr">
        <is>
          <t>CS-84</t>
        </is>
      </c>
      <c r="C90" s="14" t="inlineStr">
        <is>
          <t>CS-84.wav</t>
        </is>
      </c>
      <c r="D90" s="13" t="inlineStr">
        <is>
          <t>Speaker-02</t>
        </is>
      </c>
      <c r="E90" s="13" t="inlineStr">
        <is>
          <t>Hematology / Vascular Medicine</t>
        </is>
      </c>
      <c r="F90" s="12" t="inlineStr">
        <is>
          <t>Amharic-English</t>
        </is>
      </c>
      <c r="H90" s="13" t="inlineStr">
        <is>
          <t>የቀኝ እግር deep vein thrombosis (DVT) በ ultrasound ስረጋገጥ፣ low molecular weight heparin (Enoxaparin) subcutaneous injection ጀምርለት።</t>
        </is>
      </c>
      <c r="I90" s="13" t="inlineStr">
        <is>
          <t>Deep Vein Thrombosis, Enoxaparin</t>
        </is>
      </c>
      <c r="K90" s="15" t="inlineStr">
        <is>
          <t>verified</t>
        </is>
      </c>
      <c r="L90" t="inlineStr"/>
      <c r="M90" t="inlineStr"/>
      <c r="N90" t="inlineStr">
        <is>
          <t>manual_review</t>
        </is>
      </c>
      <c r="O90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0" t="inlineStr">
        <is>
          <t>v1.0</t>
        </is>
      </c>
      <c r="Q90" t="inlineStr">
        <is>
          <t>Ermias</t>
        </is>
      </c>
    </row>
    <row r="91">
      <c r="B91" s="13" t="inlineStr">
        <is>
          <t>CS-85</t>
        </is>
      </c>
      <c r="C91" s="14" t="inlineStr">
        <is>
          <t>CS-85.wav</t>
        </is>
      </c>
      <c r="D91" s="13" t="inlineStr">
        <is>
          <t>Speaker-02</t>
        </is>
      </c>
      <c r="E91" s="13" t="inlineStr">
        <is>
          <t>ENT</t>
        </is>
      </c>
      <c r="F91" s="12" t="inlineStr">
        <is>
          <t>Amharic-English</t>
        </is>
      </c>
      <c r="H91" s="13" t="inlineStr">
        <is>
          <t>ከባድ የጆሮ ኢንፌክሽን (chronic suppurative otitis media) በግራ ጆሮው ላይ ስላለው፣ ciprofloxacin ear drops እና aural toilet order እናድርግ።</t>
        </is>
      </c>
      <c r="I91" s="13" t="inlineStr">
        <is>
          <t>Otitis media, Ciprofloxacin drops</t>
        </is>
      </c>
      <c r="K91" s="15" t="inlineStr">
        <is>
          <t>verified</t>
        </is>
      </c>
      <c r="L91" t="inlineStr"/>
      <c r="M91" t="inlineStr"/>
      <c r="N91" t="inlineStr">
        <is>
          <t>manual_review</t>
        </is>
      </c>
      <c r="O91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1" t="inlineStr">
        <is>
          <t>v1.0</t>
        </is>
      </c>
      <c r="Q91" t="inlineStr">
        <is>
          <t>Ermias</t>
        </is>
      </c>
    </row>
    <row r="92">
      <c r="B92" s="13" t="inlineStr">
        <is>
          <t>CS-86</t>
        </is>
      </c>
      <c r="C92" s="14" t="inlineStr">
        <is>
          <t>CS-86.wav</t>
        </is>
      </c>
      <c r="D92" s="13" t="inlineStr">
        <is>
          <t>Speaker-01</t>
        </is>
      </c>
      <c r="E92" s="13" t="inlineStr">
        <is>
          <t>Endocrinology / Critical Care</t>
        </is>
      </c>
      <c r="F92" s="12" t="inlineStr">
        <is>
          <t>Amharic-English</t>
        </is>
      </c>
      <c r="H92" s="13" t="inlineStr">
        <is>
          <t>የታካሚው የደም ስኳር መጠን 450 mg/dL ከ ketoacidosis ጋር በመሆኑ፣ regular insulin infusion እና aggressive fluid hydration እንጀምራለን።</t>
        </is>
      </c>
      <c r="I92" s="13" t="inlineStr">
        <is>
          <t>DKA, Insulin infusion</t>
        </is>
      </c>
      <c r="K92" s="15" t="inlineStr">
        <is>
          <t>verified</t>
        </is>
      </c>
      <c r="L92" t="inlineStr"/>
      <c r="M92" t="inlineStr"/>
      <c r="N92" t="inlineStr">
        <is>
          <t>manual_review</t>
        </is>
      </c>
      <c r="O92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2" t="inlineStr">
        <is>
          <t>v1.0</t>
        </is>
      </c>
      <c r="Q92" t="inlineStr">
        <is>
          <t>Ermias</t>
        </is>
      </c>
    </row>
    <row r="93">
      <c r="B93" s="13" t="inlineStr">
        <is>
          <t>CS-87</t>
        </is>
      </c>
      <c r="C93" s="14" t="inlineStr">
        <is>
          <t>CS-87.wav</t>
        </is>
      </c>
      <c r="D93" s="13" t="inlineStr">
        <is>
          <t>Speaker-01</t>
        </is>
      </c>
      <c r="E93" s="13" t="inlineStr">
        <is>
          <t>Obstetrics &amp; Gynecology (OBGYN)</t>
        </is>
      </c>
      <c r="F93" s="12" t="inlineStr">
        <is>
          <t>Amharic-English</t>
        </is>
      </c>
      <c r="H93" s="13" t="inlineStr">
        <is>
          <t>ከፍተኛ የደም መፍሰስ ከ postpartum hemorrhage (PPH) ጋር የተያያዘ ስላደገ፣ bimanual compression እና Oxytocin infusion 20 units in normal saline እናድርግ።</t>
        </is>
      </c>
      <c r="I93" s="13" t="inlineStr">
        <is>
          <t>PPH, Oxytocin</t>
        </is>
      </c>
      <c r="K93" s="15" t="inlineStr">
        <is>
          <t>verified</t>
        </is>
      </c>
      <c r="L93" t="inlineStr"/>
      <c r="M93" t="inlineStr"/>
      <c r="N93" t="inlineStr">
        <is>
          <t>manual_review</t>
        </is>
      </c>
      <c r="O93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3" t="inlineStr">
        <is>
          <t>v1.0</t>
        </is>
      </c>
      <c r="Q93" t="inlineStr">
        <is>
          <t>Ermias</t>
        </is>
      </c>
    </row>
    <row r="94">
      <c r="B94" s="13" t="inlineStr">
        <is>
          <t>CS-88</t>
        </is>
      </c>
      <c r="C94" s="14" t="inlineStr">
        <is>
          <t>CS-88.wav</t>
        </is>
      </c>
      <c r="D94" s="13" t="inlineStr">
        <is>
          <t>Speaker-01</t>
        </is>
      </c>
      <c r="E94" s="13" t="inlineStr">
        <is>
          <t>Neurology / Emergency</t>
        </is>
      </c>
      <c r="F94" s="12" t="inlineStr">
        <is>
          <t>Amharic-English</t>
        </is>
      </c>
      <c r="H94" s="13" t="inlineStr">
        <is>
          <t>በግራ እጁ ላይ sustained tonic-clonic seizure እንቅስቃሴ ስላሳየ፣ IV Diazepam 10mg slow push እና Levetiracetam loading dose እንሰጣለን።</t>
        </is>
      </c>
      <c r="I94" s="13" t="inlineStr">
        <is>
          <t>Status epilepticus, Diazepam</t>
        </is>
      </c>
      <c r="K94" s="15" t="inlineStr">
        <is>
          <t>verified</t>
        </is>
      </c>
      <c r="L94" t="inlineStr"/>
      <c r="M94" t="inlineStr"/>
      <c r="N94" t="inlineStr">
        <is>
          <t>manual_review</t>
        </is>
      </c>
      <c r="O94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4" t="inlineStr">
        <is>
          <t>v1.0</t>
        </is>
      </c>
      <c r="Q94" t="inlineStr">
        <is>
          <t>Ermias</t>
        </is>
      </c>
    </row>
    <row r="95">
      <c r="B95" s="13" t="inlineStr">
        <is>
          <t>CS-89</t>
        </is>
      </c>
      <c r="C95" s="14" t="inlineStr">
        <is>
          <t>CS-89.wav</t>
        </is>
      </c>
      <c r="D95" s="13" t="inlineStr">
        <is>
          <t>Speaker-01</t>
        </is>
      </c>
      <c r="E95" s="13" t="inlineStr">
        <is>
          <t>Gastroenterology / Parasitology</t>
        </is>
      </c>
      <c r="F95" s="12" t="inlineStr">
        <is>
          <t>Amharic-English</t>
        </is>
      </c>
      <c r="H95" s="13" t="inlineStr">
        <is>
          <t>ለ 2 ሳምንታት የቆየ persistent watery diarrhea ከ abdominal cramps ጋር ስላለው፣ stool microscopy for Giardia lamblia trophozoites and cysts order እንድርግ።</t>
        </is>
      </c>
      <c r="I95" s="13" t="inlineStr">
        <is>
          <t>Giardiasis, Stool microscopy</t>
        </is>
      </c>
      <c r="K95" s="15" t="inlineStr">
        <is>
          <t>verified</t>
        </is>
      </c>
      <c r="L95" t="inlineStr"/>
      <c r="M95" t="inlineStr"/>
      <c r="N95" t="inlineStr">
        <is>
          <t>manual_review</t>
        </is>
      </c>
      <c r="O95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5" t="inlineStr">
        <is>
          <t>v1.0</t>
        </is>
      </c>
      <c r="Q95" t="inlineStr">
        <is>
          <t>Ermias</t>
        </is>
      </c>
    </row>
    <row r="96">
      <c r="B96" s="13" t="inlineStr">
        <is>
          <t>CS-90</t>
        </is>
      </c>
      <c r="C96" s="14" t="inlineStr">
        <is>
          <t>CS-90.wav</t>
        </is>
      </c>
      <c r="D96" s="13" t="inlineStr">
        <is>
          <t>Speaker-01</t>
        </is>
      </c>
      <c r="E96" s="13" t="inlineStr">
        <is>
          <t>Nephrology / Endocrinology</t>
        </is>
      </c>
      <c r="F96" s="12" t="inlineStr">
        <is>
          <t>Amharic-English</t>
        </is>
      </c>
      <c r="H96" s="13" t="inlineStr">
        <is>
          <t>ከባድ የጡንቻ ድክመት እና hypokalemia (potassium level 2.6 mEq/L) ስላለው፣ oral potassium chloride (KCl) replacement syrup ጀምርለት።</t>
        </is>
      </c>
      <c r="I96" s="13" t="inlineStr">
        <is>
          <t>Hypokalemia, Potassium chloride</t>
        </is>
      </c>
      <c r="K96" s="15" t="inlineStr">
        <is>
          <t>verified</t>
        </is>
      </c>
      <c r="L96" t="inlineStr"/>
      <c r="M96" t="inlineStr"/>
      <c r="N96" t="inlineStr">
        <is>
          <t>manual_review</t>
        </is>
      </c>
      <c r="O96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6" t="inlineStr">
        <is>
          <t>v1.0</t>
        </is>
      </c>
      <c r="Q96" t="inlineStr">
        <is>
          <t>Ermias</t>
        </is>
      </c>
    </row>
    <row r="97">
      <c r="B97" s="13" t="inlineStr">
        <is>
          <t>CS-91</t>
        </is>
      </c>
      <c r="C97" s="14" t="inlineStr">
        <is>
          <t>CS-91.wav</t>
        </is>
      </c>
      <c r="D97" s="13" t="inlineStr">
        <is>
          <t>Speaker-01</t>
        </is>
      </c>
      <c r="E97" s="13" t="inlineStr">
        <is>
          <t>Orthopedics / Trauma</t>
        </is>
      </c>
      <c r="F97" s="12" t="inlineStr">
        <is>
          <t>Amharic-English</t>
        </is>
      </c>
      <c r="H97" s="13" t="inlineStr">
        <is>
          <t>በአደጋ ምክንያት የግራ femur shaft fracture ስላለበት፣ traction splinting አድርገን preoperative orthopedic consultation እንጠይቃለን።</t>
        </is>
      </c>
      <c r="I97" s="13" t="inlineStr">
        <is>
          <t>Femur fracture, Traction splinting</t>
        </is>
      </c>
      <c r="K97" s="15" t="inlineStr">
        <is>
          <t>verified</t>
        </is>
      </c>
      <c r="L97" t="inlineStr"/>
      <c r="M97" t="inlineStr"/>
      <c r="N97" t="inlineStr">
        <is>
          <t>manual_review</t>
        </is>
      </c>
      <c r="O97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7" t="inlineStr">
        <is>
          <t>v1.0</t>
        </is>
      </c>
      <c r="Q97" t="inlineStr">
        <is>
          <t>Ermias</t>
        </is>
      </c>
    </row>
    <row r="98">
      <c r="B98" s="13" t="inlineStr">
        <is>
          <t>CS-92</t>
        </is>
      </c>
      <c r="C98" s="14" t="inlineStr">
        <is>
          <t>CS-92.wav</t>
        </is>
      </c>
      <c r="D98" s="13" t="inlineStr">
        <is>
          <t>Speaker-01</t>
        </is>
      </c>
      <c r="E98" s="13" t="inlineStr">
        <is>
          <t>Critical Care / Trauma</t>
        </is>
      </c>
      <c r="F98" s="12" t="inlineStr">
        <is>
          <t>Amharic-English</t>
        </is>
      </c>
      <c r="H98" s="13" t="inlineStr">
        <is>
          <t>ከባድ የደረት ጉዳት (flail chest) እና subcutaneous emphysema ስላለው፣ mechanical ventilation support እና intensive care unit (ICU) admission እንሰጣለን።</t>
        </is>
      </c>
      <c r="I98" s="13" t="inlineStr">
        <is>
          <t>Flail chest, ICU admission</t>
        </is>
      </c>
      <c r="K98" s="15" t="inlineStr">
        <is>
          <t>verified</t>
        </is>
      </c>
      <c r="L98" t="inlineStr"/>
      <c r="M98" t="inlineStr"/>
      <c r="N98" t="inlineStr">
        <is>
          <t>manual_review</t>
        </is>
      </c>
      <c r="O98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8" t="inlineStr">
        <is>
          <t>v1.0</t>
        </is>
      </c>
      <c r="Q98" t="inlineStr">
        <is>
          <t>Ermias</t>
        </is>
      </c>
    </row>
    <row r="99">
      <c r="B99" s="13" t="inlineStr">
        <is>
          <t>CS-93</t>
        </is>
      </c>
      <c r="C99" s="14" t="inlineStr">
        <is>
          <t>CS-93.wav</t>
        </is>
      </c>
      <c r="D99" s="13" t="inlineStr">
        <is>
          <t>Speaker-01</t>
        </is>
      </c>
      <c r="E99" s="13" t="inlineStr">
        <is>
          <t>Ophthalmology / Emergency</t>
        </is>
      </c>
      <c r="F99" s="12" t="inlineStr">
        <is>
          <t>Amharic-English</t>
        </is>
      </c>
      <c r="H99" s="13" t="inlineStr">
        <is>
          <t>የግራ eye chemical burn (alkali injury) ስላሰቃየው፣ immediate normal saline irrigation ለ 30 ደቂቃዎች እና ophthalmology evaluation order እናድርግ።</t>
        </is>
      </c>
      <c r="I99" s="13" t="inlineStr">
        <is>
          <t>Chemical eye burn, Irrigation</t>
        </is>
      </c>
      <c r="K99" s="15" t="inlineStr">
        <is>
          <t>verified</t>
        </is>
      </c>
      <c r="L99" t="inlineStr"/>
      <c r="M99" t="inlineStr"/>
      <c r="N99" t="inlineStr">
        <is>
          <t>manual_review</t>
        </is>
      </c>
      <c r="O99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99" t="inlineStr">
        <is>
          <t>v1.0</t>
        </is>
      </c>
      <c r="Q99" t="inlineStr">
        <is>
          <t>Ermias</t>
        </is>
      </c>
    </row>
    <row r="100">
      <c r="B100" s="13" t="inlineStr">
        <is>
          <t>CS-94</t>
        </is>
      </c>
      <c r="C100" s="14" t="inlineStr">
        <is>
          <t>CS-94.wav</t>
        </is>
      </c>
      <c r="D100" s="13" t="inlineStr">
        <is>
          <t>Speaker-01</t>
        </is>
      </c>
      <c r="E100" s="13" t="inlineStr">
        <is>
          <t>Critical Care / Emergency</t>
        </is>
      </c>
      <c r="F100" s="12" t="inlineStr">
        <is>
          <t>Amharic-English</t>
        </is>
      </c>
      <c r="H100" s="13" t="inlineStr">
        <is>
          <t>የደም ግፊቱ በከፍተኛ ሁኔታ ቀንሶ (shock state) እና lactate level elevated ስለሆነ፣ central venous catheter (CVC) insertion እና vasopressor support (Norepinephrine) እንጀምራለን።</t>
        </is>
      </c>
      <c r="I100" s="13" t="inlineStr">
        <is>
          <t>Septic/Vasogenic shock, Norepinephrine</t>
        </is>
      </c>
      <c r="K100" s="15" t="inlineStr">
        <is>
          <t>verified</t>
        </is>
      </c>
      <c r="L100" t="inlineStr"/>
      <c r="M100" t="inlineStr"/>
      <c r="N100" t="inlineStr">
        <is>
          <t>manual_review</t>
        </is>
      </c>
      <c r="O100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00" t="inlineStr">
        <is>
          <t>v1.0</t>
        </is>
      </c>
      <c r="Q100" t="inlineStr">
        <is>
          <t>Ermias</t>
        </is>
      </c>
    </row>
    <row r="101">
      <c r="B101" s="13" t="inlineStr">
        <is>
          <t>CS-95</t>
        </is>
      </c>
      <c r="C101" s="14" t="inlineStr">
        <is>
          <t>CS-95.wav</t>
        </is>
      </c>
      <c r="D101" s="13" t="inlineStr">
        <is>
          <t>Speaker-01</t>
        </is>
      </c>
      <c r="E101" s="13" t="inlineStr">
        <is>
          <t>Pulmonology / Critical Care</t>
        </is>
      </c>
      <c r="F101" s="12" t="inlineStr">
        <is>
          <t>Amharic-English</t>
        </is>
      </c>
      <c r="H101" s="13" t="inlineStr">
        <is>
          <t>በግራ chest wall ላይ የሚሰማ sharp pleuritic chest pain ከ diminished breath sounds ጋር ስላለው (pneumothorax)፣ emergency chest tube insertion order አድርግ።</t>
        </is>
      </c>
      <c r="I101" s="13" t="inlineStr">
        <is>
          <t>Pneumothorax, Chest tube</t>
        </is>
      </c>
      <c r="K101" s="15" t="inlineStr">
        <is>
          <t>verified</t>
        </is>
      </c>
      <c r="L101" t="inlineStr"/>
      <c r="M101" t="inlineStr"/>
      <c r="N101" t="inlineStr">
        <is>
          <t>manual_review</t>
        </is>
      </c>
      <c r="O101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01" t="inlineStr">
        <is>
          <t>v1.0</t>
        </is>
      </c>
      <c r="Q101" t="inlineStr">
        <is>
          <t>Ermias</t>
        </is>
      </c>
    </row>
    <row r="102">
      <c r="B102" s="13" t="inlineStr">
        <is>
          <t>CS-96</t>
        </is>
      </c>
      <c r="C102" s="14" t="inlineStr">
        <is>
          <t>CS-96.wav</t>
        </is>
      </c>
      <c r="D102" s="13" t="inlineStr">
        <is>
          <t>Speaker-01</t>
        </is>
      </c>
      <c r="E102" s="13" t="inlineStr">
        <is>
          <t>Endocrinology / Surgery</t>
        </is>
      </c>
      <c r="F102" s="12" t="inlineStr">
        <is>
          <t>Amharic-English</t>
        </is>
      </c>
      <c r="H102" s="13" t="inlineStr">
        <is>
          <t>የአንገት እጢ (thyroid nodule) ባለበት ታካሚ ላይ fine-needle aspiration cytology (FNAC) እና thyroid profile lab test and order እንሰጣለን።</t>
        </is>
      </c>
      <c r="I102" s="13" t="inlineStr">
        <is>
          <t>Thyroid nodule, FNAC</t>
        </is>
      </c>
      <c r="K102" s="15" t="inlineStr">
        <is>
          <t>verified</t>
        </is>
      </c>
      <c r="L102" t="inlineStr"/>
      <c r="M102" t="inlineStr"/>
      <c r="N102" t="inlineStr">
        <is>
          <t>manual_review</t>
        </is>
      </c>
      <c r="O102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02" t="inlineStr">
        <is>
          <t>v1.0</t>
        </is>
      </c>
      <c r="Q102" t="inlineStr">
        <is>
          <t>Ermias</t>
        </is>
      </c>
    </row>
    <row r="103">
      <c r="B103" s="13" t="inlineStr">
        <is>
          <t>CS-97</t>
        </is>
      </c>
      <c r="C103" s="14" t="inlineStr">
        <is>
          <t>CS-97.wav</t>
        </is>
      </c>
      <c r="D103" s="13" t="inlineStr">
        <is>
          <t>Speaker-01</t>
        </is>
      </c>
      <c r="E103" s="13" t="inlineStr">
        <is>
          <t>Urology / Nephrology</t>
        </is>
      </c>
      <c r="F103" s="12" t="inlineStr">
        <is>
          <t>Amharic-English</t>
        </is>
      </c>
      <c r="H103" s="13" t="inlineStr">
        <is>
          <t>ከባድ የኩላሊት ጠጠር (renal colic) እና unilateral flank pain ከ hematuria ጋር ስላለው፣ non-contrast CT KUB order አድርገን Diclofenac 75mg IM እንሰጣለን።</t>
        </is>
      </c>
      <c r="I103" s="13" t="inlineStr">
        <is>
          <t>Renal colic, CT KUB</t>
        </is>
      </c>
      <c r="K103" s="15" t="inlineStr">
        <is>
          <t>verified</t>
        </is>
      </c>
      <c r="L103" t="inlineStr"/>
      <c r="M103" t="inlineStr"/>
      <c r="N103" t="inlineStr">
        <is>
          <t>manual_review</t>
        </is>
      </c>
      <c r="O103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03" t="inlineStr">
        <is>
          <t>v1.0</t>
        </is>
      </c>
      <c r="Q103" t="inlineStr">
        <is>
          <t>Ermias</t>
        </is>
      </c>
    </row>
    <row r="104">
      <c r="B104" s="13" t="inlineStr">
        <is>
          <t>CS-98</t>
        </is>
      </c>
      <c r="C104" s="14" t="inlineStr">
        <is>
          <t>CS-98.wav</t>
        </is>
      </c>
      <c r="D104" s="13" t="inlineStr">
        <is>
          <t>Speaker-01</t>
        </is>
      </c>
      <c r="E104" s="13" t="inlineStr">
        <is>
          <t>Orthopedics / Surgery</t>
        </is>
      </c>
      <c r="F104" s="12" t="inlineStr">
        <is>
          <t>Amharic-English</t>
        </is>
      </c>
      <c r="H104" s="13" t="inlineStr">
        <is>
          <t>በቀኝ እጅ አንጓ (wrist) ላይ open fracture ከ neurovascular deficit ጋር ስላለው፣ urgent orthopedic surgical debridement እና external fixation plan እንይ።</t>
        </is>
      </c>
      <c r="I104" s="13" t="inlineStr">
        <is>
          <t>Open wrist fracture, Surgical debridement</t>
        </is>
      </c>
      <c r="K104" s="15" t="inlineStr">
        <is>
          <t>verified</t>
        </is>
      </c>
      <c r="L104" t="inlineStr"/>
      <c r="M104" t="inlineStr"/>
      <c r="N104" t="inlineStr">
        <is>
          <t>manual_review</t>
        </is>
      </c>
      <c r="O104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04" t="inlineStr">
        <is>
          <t>v1.0</t>
        </is>
      </c>
      <c r="Q104" t="inlineStr">
        <is>
          <t>Ermias</t>
        </is>
      </c>
    </row>
    <row r="105">
      <c r="B105" s="13" t="inlineStr">
        <is>
          <t>CS-99</t>
        </is>
      </c>
      <c r="C105" s="14" t="inlineStr">
        <is>
          <t>CS-99.wav</t>
        </is>
      </c>
      <c r="D105" s="13" t="inlineStr">
        <is>
          <t>Speaker-02</t>
        </is>
      </c>
      <c r="E105" s="13" t="inlineStr">
        <is>
          <t>Psychiatry</t>
        </is>
      </c>
      <c r="F105" s="12" t="inlineStr">
        <is>
          <t>Amharic-English</t>
        </is>
      </c>
      <c r="H105" s="13" t="inlineStr">
        <is>
          <t>የአእምሮ ህመም (schizophrenia exacerbation) እና auditory hallucinations ስላለው፣ Risperidone 2mg PO BID እና supportive psychiatric care ጀምር።</t>
        </is>
      </c>
      <c r="I105" s="13" t="inlineStr">
        <is>
          <t>Schizophrenia, Risperidone</t>
        </is>
      </c>
      <c r="K105" s="15" t="inlineStr">
        <is>
          <t>verified</t>
        </is>
      </c>
      <c r="L105" t="inlineStr"/>
      <c r="M105" t="inlineStr"/>
      <c r="N105" t="inlineStr">
        <is>
          <t>manual_review</t>
        </is>
      </c>
      <c r="O105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05" t="inlineStr">
        <is>
          <t>v1.0</t>
        </is>
      </c>
      <c r="Q105" t="inlineStr">
        <is>
          <t>Ermias</t>
        </is>
      </c>
    </row>
    <row r="106">
      <c r="B106" s="13" t="inlineStr">
        <is>
          <t>CS-100</t>
        </is>
      </c>
      <c r="C106" s="14" t="inlineStr">
        <is>
          <t>CS-100.wav</t>
        </is>
      </c>
      <c r="D106" s="13" t="inlineStr">
        <is>
          <t>Speaker-02</t>
        </is>
      </c>
      <c r="E106" s="13" t="inlineStr">
        <is>
          <t>Gastroenterology / Hepatology</t>
        </is>
      </c>
      <c r="F106" s="12" t="inlineStr">
        <is>
          <t>Amharic-English</t>
        </is>
      </c>
      <c r="H106" s="13" t="inlineStr">
        <is>
          <t>የመጨረሻው ደረጃ የጉበት ከሰል (liver cirrhosis) እና ascites ስላለው፣ diagnostic paracentesis with ascitic fluid analysis እና Spironolactone 100mg PO daily ጀምር።</t>
        </is>
      </c>
      <c r="I106" s="13" t="inlineStr">
        <is>
          <t>Liver cirrhosis, Paracentesis</t>
        </is>
      </c>
      <c r="K106" s="15" t="inlineStr">
        <is>
          <t>verified</t>
        </is>
      </c>
      <c r="L106" t="inlineStr"/>
      <c r="M106" t="inlineStr"/>
      <c r="N106" t="inlineStr">
        <is>
          <t>manual_review</t>
        </is>
      </c>
      <c r="O106" t="inlineStr">
        <is>
          <t>User-supplied benchmark evidence states transcripts, audio, and audio-transcript alignment were manually reviewed. Reviewer identity, review date, and underlying review logs were not supplied. Benchmark preparation: Ermias.</t>
        </is>
      </c>
      <c r="P106" t="inlineStr">
        <is>
          <t>v1.0</t>
        </is>
      </c>
      <c r="Q106" t="inlineStr">
        <is>
          <t>Ermias</t>
        </is>
      </c>
    </row>
  </sheetData>
  <dataValidations count="1">
    <dataValidation sqref="K7:K106" showDropDown="0" showInputMessage="0" showErrorMessage="0" allowBlank="1" type="list">
      <formula1>"verified,needs_review"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2026-10-07T13:05:10Z</dcterms:created>
  <dcterms:modified xsi:type="dcterms:W3CDTF">2026-10-07T14:01:26Z</dcterms:modified>
</cp:coreProperties>
</file>